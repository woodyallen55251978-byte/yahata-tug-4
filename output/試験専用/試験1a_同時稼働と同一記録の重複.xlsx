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<sst xmlns="http://schemas.openxmlformats.org/spreadsheetml/2006/main" count="943" uniqueCount="578">
  <si>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</si>
  <si>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</si>
  <si>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</si>
  <si>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</si>
  <si>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01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</si>
  <si>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</si>
  <si>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</si>
  <si>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</si>
  <si>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</si>
  <si>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</si>
  <si>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</si>
  <si>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</si>
  <si>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</si>
  <si>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</si>
  <si>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</si>
  <si>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</si>
  <si>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</si>
  <si>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</si>
  <si>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</si>
  <si>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</si>
  <si>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</si>
  <si>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</si>
  <si>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</si>
  <si>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</si>
  <si>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</si>
  <si>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</si>
  <si>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</si>
  <si>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</si>
  <si>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</si>
  <si>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</si>
  <si>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</si>
  <si>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</si>
  <si>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</si>
  <si>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</si>
  <si>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</si>
  <si>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</si>
  <si>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</si>
  <si>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</si>
  <si>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</si>
  <si>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</si>
  <si>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</si>
  <si>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</si>
  <si>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</si>
  <si>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</si>
  <si>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</si>
  <si>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</si>
  <si>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</si>
  <si>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</si>
  <si>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</si>
  <si>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</si>
  <si>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</si>
  <si>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</si>
  <si>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2025/11/01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</si>
  <si>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</si>
  <si>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</si>
  <si>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</si>
  <si>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</si>
  <si>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</si>
  <si>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</si>
  <si>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</si>
  <si>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</si>
  <si>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</si>
  <si>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</si>
  <si>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</si>
  <si>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</si>
  <si>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</si>
  <si>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</si>
  <si>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</si>
  <si>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</si>
  <si>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</si>
  <si>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</si>
  <si>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</si>
  <si>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</si>
  <si>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</si>
  <si>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</si>
  <si>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</si>
  <si>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</si>
  <si>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</si>
  <si>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</si>
  <si>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</si>
  <si>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</si>
  <si>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</si>
  <si>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</si>
  <si>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</si>
  <si>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</si>
  <si>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</si>
  <si>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</si>
  <si>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</si>
  <si>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</si>
  <si>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</si>
  <si>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</si>
  <si>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</si>
  <si>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</si>
  <si>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2025-11-01#01</t>
  </si>
  <si>
    <r>
      <rPr>
        <sz val="10"/>
        <rFont val="游ゴシック"/>
        <family val="0"/>
        <charset val="1"/>
      </rPr>
      <t xml:space="preserve">11/01 #01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</si>
  <si>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</si>
  <si>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</si>
  <si>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1</t>
    </r>
  </si>
  <si>
    <t xml:space="preserve">入</t>
  </si>
  <si>
    <t xml:space="preserve">T1</t>
  </si>
  <si>
    <t xml:space="preserve">鋼材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</si>
  <si>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A</t>
    </r>
    <r>
      <rPr>
        <sz val="10"/>
        <rFont val="WenQuanYi Zen Hei"/>
        <family val="2"/>
      </rPr>
      <t xml:space="preserve">船</t>
    </r>
  </si>
  <si>
    <t xml:space="preserve">候補・時刻要確認</t>
  </si>
  <si>
    <t xml:space="preserve">2025-11-01#02</t>
  </si>
  <si>
    <r>
      <rPr>
        <sz val="10"/>
        <rFont val="游ゴシック"/>
        <family val="0"/>
        <charset val="1"/>
      </rPr>
      <t xml:space="preserve">11/01 #02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</si>
  <si>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</si>
  <si>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B</t>
    </r>
    <r>
      <rPr>
        <sz val="10"/>
        <rFont val="WenQuanYi Zen Hei"/>
        <family val="2"/>
      </rPr>
      <t xml:space="preserve">船</t>
    </r>
  </si>
  <si>
    <t xml:space="preserve">2025-11-01#03</t>
  </si>
  <si>
    <r>
      <rPr>
        <sz val="10"/>
        <rFont val="游ゴシック"/>
        <family val="0"/>
        <charset val="1"/>
      </rPr>
      <t xml:space="preserve">11/01 #03 09:30 </t>
    </r>
    <r>
      <rPr>
        <sz val="10"/>
        <rFont val="WenQuanYi Zen Hei"/>
        <family val="2"/>
      </rPr>
      <t xml:space="preserve">出 試験本船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</si>
  <si>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3</t>
    </r>
  </si>
  <si>
    <t xml:space="preserve">出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</si>
  <si>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C</t>
    </r>
    <r>
      <rPr>
        <sz val="10"/>
        <rFont val="WenQuanYi Zen Hei"/>
        <family val="2"/>
      </rPr>
      <t xml:space="preserve">船</t>
    </r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</si>
  <si>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</si>
  <si>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</si>
  <si>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</si>
  <si>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</si>
  <si>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</si>
  <si>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</si>
  <si>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</si>
  <si>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</si>
  <si>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</si>
  <si>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</si>
  <si>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</si>
  <si>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</si>
  <si>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</si>
  <si>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</si>
  <si>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</si>
  <si>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</si>
  <si>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</si>
  <si>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</si>
  <si>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</si>
  <si>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</si>
  <si>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</si>
  <si>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</si>
  <si>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</si>
  <si>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</si>
  <si>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</si>
  <si>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</si>
  <si>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</si>
  <si>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</si>
  <si>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</si>
  <si>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</si>
  <si>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</si>
  <si>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</si>
  <si>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</si>
  <si>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</si>
  <si>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</si>
  <si>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</si>
  <si>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</si>
  <si>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</si>
  <si>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</si>
  <si>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</si>
  <si>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</si>
  <si>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</si>
  <si>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</si>
  <si>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A</t>
    </r>
    <r>
      <rPr>
        <sz val="10"/>
        <rFont val="WenQuanYi Zen Hei"/>
        <family val="2"/>
      </rPr>
      <t xml:space="preserve">船・試験</t>
    </r>
    <r>
      <rPr>
        <sz val="10"/>
        <rFont val="游ゴシック"/>
        <family val="0"/>
        <charset val="1"/>
      </rPr>
      <t xml:space="preserve">A</t>
    </r>
    <r>
      <rPr>
        <sz val="10"/>
        <rFont val="WenQuanYi Zen Hei"/>
        <family val="2"/>
      </rPr>
      <t xml:space="preserve">船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</si>
  <si>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</si>
  <si>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</si>
  <si>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</si>
  <si>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</si>
  <si>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</si>
  <si>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</si>
  <si>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</si>
  <si>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</si>
  <si>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</si>
  <si>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</si>
  <si>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</si>
  <si>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</si>
  <si>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</si>
  <si>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</si>
  <si>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</si>
  <si>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</si>
  <si>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</si>
  <si>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</si>
  <si>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</si>
  <si>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</si>
  <si>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</si>
  <si>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</si>
  <si>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</si>
  <si>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</si>
  <si>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</si>
  <si>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</si>
  <si>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</si>
  <si>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</si>
  <si>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</si>
  <si>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</si>
  <si>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</si>
  <si>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</si>
  <si>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</si>
  <si>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</si>
  <si>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</si>
  <si>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</si>
  <si>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</si>
  <si>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</si>
  <si>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</si>
  <si>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</si>
  <si>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</si>
  <si>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</si>
  <si>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</si>
  <si>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</si>
  <si>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</si>
  <si>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</si>
  <si>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</si>
  <si>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</si>
  <si>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</si>
  <si>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</si>
  <si>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</si>
  <si>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</si>
  <si>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</si>
  <si>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</si>
  <si>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</si>
  <si>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</si>
  <si>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</si>
  <si>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</si>
  <si>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</si>
  <si>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</si>
  <si>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</si>
  <si>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</si>
  <si>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</si>
  <si>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</si>
  <si>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</si>
  <si>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</si>
  <si>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</si>
  <si>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</si>
  <si>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</si>
  <si>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</si>
  <si>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</si>
  <si>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</si>
  <si>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</si>
  <si>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</si>
  <si>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</si>
  <si>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</si>
  <si>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</si>
  <si>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</si>
  <si>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</si>
  <si>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</si>
  <si>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</si>
  <si>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</si>
  <si>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</si>
  <si>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</si>
  <si>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</si>
  <si>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</si>
  <si>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</si>
  <si>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</si>
  <si>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</si>
  <si>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</si>
  <si>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</si>
  <si>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</si>
  <si>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</si>
  <si>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</si>
  <si>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</si>
  <si>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</si>
  <si>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</si>
  <si>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</si>
  <si>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</si>
  <si>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</si>
  <si>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</si>
  <si>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</si>
  <si>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</si>
  <si>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</si>
  <si>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</si>
  <si>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</si>
  <si>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</si>
  <si>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</si>
  <si>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</si>
  <si>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</si>
  <si>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</si>
  <si>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</si>
  <si>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</si>
  <si>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</si>
  <si>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</si>
  <si>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</si>
  <si>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</si>
  <si>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</si>
  <si>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</si>
  <si>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</si>
  <si>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</si>
  <si>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</si>
  <si>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</si>
  <si>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</si>
  <si>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</si>
  <si>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</si>
  <si>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</si>
  <si>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</si>
  <si>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</si>
  <si>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</si>
  <si>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</si>
  <si>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</si>
  <si>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</si>
  <si>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</si>
  <si>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</si>
  <si>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</si>
  <si>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</si>
  <si>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</si>
  <si>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</si>
  <si>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</si>
  <si>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</si>
  <si>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</si>
  <si>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</si>
  <si>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</si>
  <si>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</si>
  <si>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</si>
  <si>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</si>
  <si>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</si>
  <si>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</si>
  <si>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</si>
  <si>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</si>
  <si>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</si>
  <si>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</si>
  <si>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</si>
  <si>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</si>
  <si>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</si>
  <si>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</si>
  <si>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</si>
  <si>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</si>
  <si>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</si>
  <si>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</si>
  <si>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</si>
  <si>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</si>
  <si>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</si>
  <si>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</si>
  <si>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</si>
  <si>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</si>
  <si>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</si>
  <si>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</si>
  <si>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</si>
  <si>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</si>
  <si>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</si>
  <si>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</si>
  <si>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</si>
  <si>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</si>
  <si>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</si>
  <si>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</si>
  <si>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</si>
  <si>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</si>
  <si>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</si>
  <si>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</si>
  <si>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</si>
  <si>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</si>
  <si>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</si>
  <si>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</si>
  <si>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</si>
  <si>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</si>
  <si>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</si>
  <si>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</si>
  <si>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</si>
  <si>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</si>
  <si>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</si>
  <si>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</si>
  <si>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</si>
  <si>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</si>
  <si>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</si>
  <si>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</si>
  <si>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</si>
  <si>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</si>
  <si>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</si>
  <si>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</si>
  <si>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</si>
  <si>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</si>
  <si>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</si>
  <si>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</si>
  <si>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</si>
  <si>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</si>
  <si>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</si>
  <si>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</si>
  <si>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</si>
  <si>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</si>
  <si>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</si>
  <si>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</si>
  <si>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</si>
  <si>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</si>
  <si>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</si>
  <si>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t xml:space="preserve">T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</si>
  <si>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</si>
  <si>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</si>
  <si>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</si>
  <si>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</si>
  <si>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</si>
  <si>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</si>
  <si>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S</t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</si>
  <si>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</si>
  <si>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</si>
  <si>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</si>
  <si>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</si>
  <si>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</si>
  <si>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</si>
  <si>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</si>
  <si>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Y</t>
  </si>
  <si>
    <t xml:space="preserve">洞海マリン</t>
  </si>
  <si>
    <t xml:space="preserve">M</t>
  </si>
  <si>
    <t xml:space="preserve">福島海運</t>
  </si>
  <si>
    <t xml:space="preserve">P</t>
  </si>
  <si>
    <t xml:space="preserve">試験会社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</si>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</sst>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45962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0.375</v>
      </c>
      <c r="O6" s="19" t="n">
        <v>0.375</v>
      </c>
      <c r="P6" s="19" t="n">
        <v>0.416666666666667</v>
      </c>
      <c r="Q6" s="18"/>
      <c r="R6" s="18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試験A船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試験会社</v>
      </c>
      <c r="Y6" s="18" t="str">
        <f aca="false">IFERROR(INDEX(マスター!$L$6:$L$125,MATCH(R6,マスター!$N$6:$N$125,0)),"マスター未登録")</f>
        <v>他社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確認済み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45962.375</v>
      </c>
      <c r="AF6" s="20" t="n">
        <f aca="false">IF(P6="","",D6+P6+IF(Q6="○",1,0))</f>
        <v>45962.4166666667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>同一記録の重複（1隻として数える）</v>
      </c>
      <c r="AI6" s="18" t="n">
        <f aca="false">IF(OR(O6="",V6&lt;&gt;"候補・時刻要確認"),"",ROUND((D6-集計!$C$5)*1440+O6*1440,0))</f>
        <v>540</v>
      </c>
      <c r="AJ6" s="18" t="n">
        <f aca="false">IF(OR(P6="",V6&lt;&gt;"候補・時刻要確認"),"",ROUND((D6-集計!$C$5)*1440+P6*1440+IF(Q6="○",1440,0),0))</f>
        <v>600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540</v>
      </c>
      <c r="AN6" s="18" t="n">
        <f aca="false">IF(C6&lt;&gt;"○","",IF(COUNTIFS(実績!$A$6:$A$505,A6,実績!$AK$6:$AK$505,"○")=0,"",_xlfn.MAXIFS(実績!$AJ$6:$AJ$505,実績!$A$6:$A$505,A6,実績!$AK$6:$AK$505,"○")))</f>
        <v>600</v>
      </c>
    </row>
    <row r="7" customFormat="false" ht="15" hidden="false" customHeight="false" outlineLevel="0" collapsed="false">
      <c r="A7" s="16" t="s">
        <v>93</v>
      </c>
      <c r="B7" s="16" t="s">
        <v>94</v>
      </c>
      <c r="C7" s="18"/>
      <c r="D7" s="17" t="n">
        <v>45962</v>
      </c>
      <c r="E7" s="18" t="s">
        <v>96</v>
      </c>
      <c r="F7" s="18"/>
      <c r="G7" s="18" t="s">
        <v>97</v>
      </c>
      <c r="H7" s="18" t="n">
        <v>1000</v>
      </c>
      <c r="I7" s="18" t="s">
        <v>96</v>
      </c>
      <c r="J7" s="18" t="s">
        <v>98</v>
      </c>
      <c r="K7" s="18"/>
      <c r="L7" s="16" t="s">
        <v>99</v>
      </c>
      <c r="M7" s="18" t="s">
        <v>100</v>
      </c>
      <c r="N7" s="19" t="n">
        <v>0.375</v>
      </c>
      <c r="O7" s="19" t="n">
        <v>0.375</v>
      </c>
      <c r="P7" s="19" t="n">
        <v>0.416666666666667</v>
      </c>
      <c r="Q7" s="18"/>
      <c r="R7" s="18" t="s">
        <v>101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試験A船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試験会社</v>
      </c>
      <c r="Y7" s="18" t="str">
        <f aca="false">IFERROR(INDEX(マスター!$L$6:$L$125,MATCH(R7,マスター!$N$6:$N$125,0)),"マスター未登録")</f>
        <v>他社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確認済み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入港</v>
      </c>
      <c r="AD7" s="18" t="str">
        <f aca="false">IF(M7="","未確認",IFERROR(INDEX(マスター!$Y$6:$Y$25,MATCH(M7,マスター!$X$6:$X$25,0))&amp;"","未確認"))</f>
        <v>高炉原料以外</v>
      </c>
      <c r="AE7" s="20" t="n">
        <f aca="false">IF(O7="","",D7+O7)</f>
        <v>45962.375</v>
      </c>
      <c r="AF7" s="20" t="n">
        <f aca="false">IF(P7="","",D7+P7+IF(Q7="○",1,0))</f>
        <v>45962.4166666667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>同一記録の重複（1隻として数える）</v>
      </c>
      <c r="AI7" s="18" t="n">
        <f aca="false">IF(OR(O7="",V7&lt;&gt;"候補・時刻要確認"),"",ROUND((D7-集計!$C$5)*1440+O7*1440,0))</f>
        <v>540</v>
      </c>
      <c r="AJ7" s="18" t="n">
        <f aca="false">IF(OR(P7="",V7&lt;&gt;"候補・時刻要確認"),"",ROUND((D7-集計!$C$5)*1440+P7*1440+IF(Q7="○",1440,0),0))</f>
        <v>600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>○</v>
      </c>
      <c r="AM7" s="18" t="str">
        <f aca="false">IF(C7&lt;&gt;"○","",IF(COUNTIFS(実績!$A$6:$A$505,A7,実績!$AK$6:$AK$505,"○")=0,"",_xlfn.MINIFS(実績!$AI$6:$AI$505,実績!$A$6:$A$505,A7,実績!$AK$6:$AK$505,"○")))</f>
        <v/>
      </c>
      <c r="AN7" s="18" t="str">
        <f aca="false">IF(C7&lt;&gt;"○","",IF(COUNTIFS(実績!$A$6:$A$505,A7,実績!$AK$6:$AK$505,"○")=0,"",_xlfn.MAXIFS(実績!$AJ$6:$AJ$505,実績!$A$6:$A$505,A7,実績!$AK$6:$AK$505,"○")))</f>
        <v/>
      </c>
    </row>
    <row r="8" customFormat="false" ht="15" hidden="false" customHeight="false" outlineLevel="0" collapsed="false">
      <c r="A8" s="16" t="s">
        <v>103</v>
      </c>
      <c r="B8" s="16" t="s">
        <v>104</v>
      </c>
      <c r="C8" s="16" t="s">
        <v>95</v>
      </c>
      <c r="D8" s="17" t="n">
        <v>45962</v>
      </c>
      <c r="E8" s="18" t="s">
        <v>96</v>
      </c>
      <c r="F8" s="18" t="n">
        <v>1</v>
      </c>
      <c r="G8" s="18" t="s">
        <v>105</v>
      </c>
      <c r="H8" s="18" t="n">
        <v>1000</v>
      </c>
      <c r="I8" s="18" t="s">
        <v>96</v>
      </c>
      <c r="J8" s="18" t="s">
        <v>98</v>
      </c>
      <c r="K8" s="18"/>
      <c r="L8" s="16" t="s">
        <v>99</v>
      </c>
      <c r="M8" s="18" t="s">
        <v>100</v>
      </c>
      <c r="N8" s="19" t="n">
        <v>0.375</v>
      </c>
      <c r="O8" s="19" t="n">
        <v>0.375</v>
      </c>
      <c r="P8" s="19" t="n">
        <v>0.416666666666667</v>
      </c>
      <c r="Q8" s="18"/>
      <c r="R8" s="18" t="s">
        <v>106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試験B船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試験会社</v>
      </c>
      <c r="Y8" s="18" t="str">
        <f aca="false">IFERROR(INDEX(マスター!$L$6:$L$125,MATCH(R8,マスター!$N$6:$N$125,0)),"マスター未登録")</f>
        <v>他社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確認済み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入港</v>
      </c>
      <c r="AD8" s="18" t="str">
        <f aca="false">IF(M8="","未確認",IFERROR(INDEX(マスター!$Y$6:$Y$25,MATCH(M8,マスター!$X$6:$X$25,0))&amp;"","未確認"))</f>
        <v>高炉原料以外</v>
      </c>
      <c r="AE8" s="20" t="n">
        <f aca="false">IF(O8="","",D8+O8)</f>
        <v>45962.375</v>
      </c>
      <c r="AF8" s="20" t="n">
        <f aca="false">IF(P8="","",D8+P8+IF(Q8="○",1,0))</f>
        <v>45962.4166666667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540</v>
      </c>
      <c r="AJ8" s="18" t="n">
        <f aca="false">IF(OR(P8="",V8&lt;&gt;"候補・時刻要確認"),"",ROUND((D8-集計!$C$5)*1440+P8*1440+IF(Q8="○",1440,0),0))</f>
        <v>600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>○</v>
      </c>
      <c r="AM8" s="18" t="n">
        <f aca="false">IF(C8&lt;&gt;"○","",IF(COUNTIFS(実績!$A$6:$A$505,A8,実績!$AK$6:$AK$505,"○")=0,"",_xlfn.MINIFS(実績!$AI$6:$AI$505,実績!$A$6:$A$505,A8,実績!$AK$6:$AK$505,"○")))</f>
        <v>540</v>
      </c>
      <c r="AN8" s="18" t="n">
        <f aca="false">IF(C8&lt;&gt;"○","",IF(COUNTIFS(実績!$A$6:$A$505,A8,実績!$AK$6:$AK$505,"○")=0,"",_xlfn.MAXIFS(実績!$AJ$6:$AJ$505,実績!$A$6:$A$505,A8,実績!$AK$6:$AK$505,"○")))</f>
        <v>600</v>
      </c>
    </row>
    <row r="9" customFormat="false" ht="15" hidden="false" customHeight="false" outlineLevel="0" collapsed="false">
      <c r="A9" s="16" t="s">
        <v>107</v>
      </c>
      <c r="B9" s="16" t="s">
        <v>108</v>
      </c>
      <c r="C9" s="16" t="s">
        <v>95</v>
      </c>
      <c r="D9" s="17" t="n">
        <v>45962</v>
      </c>
      <c r="E9" s="18" t="s">
        <v>96</v>
      </c>
      <c r="F9" s="18" t="n">
        <v>1</v>
      </c>
      <c r="G9" s="18" t="s">
        <v>109</v>
      </c>
      <c r="H9" s="18" t="n">
        <v>1000</v>
      </c>
      <c r="I9" s="18" t="s">
        <v>96</v>
      </c>
      <c r="J9" s="18" t="s">
        <v>110</v>
      </c>
      <c r="K9" s="18"/>
      <c r="L9" s="16" t="s">
        <v>99</v>
      </c>
      <c r="M9" s="18" t="s">
        <v>100</v>
      </c>
      <c r="N9" s="19" t="n">
        <v>0.395833333333333</v>
      </c>
      <c r="O9" s="19" t="n">
        <v>0.395833333333333</v>
      </c>
      <c r="P9" s="19" t="n">
        <v>0.4375</v>
      </c>
      <c r="Q9" s="18"/>
      <c r="R9" s="18" t="s">
        <v>111</v>
      </c>
      <c r="S9" s="18"/>
      <c r="T9" s="18"/>
      <c r="U9" s="18"/>
      <c r="V9" s="18" t="s">
        <v>102</v>
      </c>
      <c r="W9" s="18" t="str">
        <f aca="false">IFERROR(INDEX(マスター!$K$6:$K$125,MATCH(R9,マスター!$N$6:$N$125,0)),R9)</f>
        <v>試験C船</v>
      </c>
      <c r="X9" s="18" t="str">
        <f aca="false">IFERROR(IF(IFERROR(INDEX(マスター!$C$6:$C$125,MATCH(R9,マスター!$N$6:$N$125,0)),NA())="","未確認",IFERROR(INDEX(マスター!$C$6:$C$125,MATCH(R9,マスター!$N$6:$N$125,0)),NA())),"マスター未登録")</f>
        <v>試験会社</v>
      </c>
      <c r="Y9" s="18" t="str">
        <f aca="false">IFERROR(INDEX(マスター!$L$6:$L$125,MATCH(R9,マスター!$N$6:$N$125,0)),"マスター未登録")</f>
        <v>他社</v>
      </c>
      <c r="Z9" s="18" t="str">
        <f aca="false">IFERROR(IF(IFERROR(INDEX(マスター!$J$6:$J$125,MATCH(R9,マスター!$N$6:$N$125,0)),NA())="","未確認",IFERROR(INDEX(マスター!$J$6:$J$125,MATCH(R9,マスター!$N$6:$N$125,0)),NA())),"マスター未登録")</f>
        <v>確認済み</v>
      </c>
      <c r="AA9" s="18" t="str">
        <f aca="false">IFERROR(IF(IFERROR(INDEX(マスター!$D$6:$D$125,MATCH(R9,マスター!$N$6:$N$125,0)),NA())="","未確認",IFERROR(INDEX(マスター!$D$6:$D$125,MATCH(R9,マスター!$N$6:$N$125,0)),NA())),"マスター未登録")</f>
        <v>タグ</v>
      </c>
      <c r="AB9" s="18" t="str">
        <f aca="false">IF(IFERROR(INDEX(マスター!$Z$6:$Z$25,MATCH(M9,マスター!$X$6:$X$25,0)),"")="○","安瀬候補（要確認）","")</f>
        <v/>
      </c>
      <c r="AC9" s="18" t="str">
        <f aca="false">IF(J9="","",IF(M9="LNG",IF(J9="入","LNG入港",IF(J9="出","LNG出港",IF(J9="当直","LNG警戒",IF(J9="エスコート","LNGエスコート","LNG"&amp;J9)))),IF(J9="入","入港",IF(J9="出","出港",IF(J9="転","転錨・シフト",J9)))))</f>
        <v>出港</v>
      </c>
      <c r="AD9" s="18" t="str">
        <f aca="false">IF(M9="","未確認",IFERROR(INDEX(マスター!$Y$6:$Y$25,MATCH(M9,マスター!$X$6:$X$25,0))&amp;"","未確認"))</f>
        <v>高炉原料以外</v>
      </c>
      <c r="AE9" s="20" t="n">
        <f aca="false">IF(O9="","",D9+O9)</f>
        <v>45962.3958333333</v>
      </c>
      <c r="AF9" s="20" t="n">
        <f aca="false">IF(P9="","",D9+P9+IF(Q9="○",1,0))</f>
        <v>45962.4375</v>
      </c>
      <c r="AG9" s="18" t="str">
        <f aca="false">IF(D9&lt;集計!$C$5,"前日から継続","")</f>
        <v/>
      </c>
      <c r="AH9" s="18" t="str">
        <f aca="false">IF(AK9&lt;&gt;"○","",IF(COUNTIFS(実績!$W$6:$W$505,W9,実績!$AI$6:$AI$505,"&lt;"&amp;AJ9,実績!$AJ$6:$AJ$505,"&gt;"&amp;AI9,実績!$AK$6:$AK$505,"○",実績!$A$6:$A$505,"&lt;&gt;"&amp;A9)&gt;0,"重複配船の警告（同じ船が同じ時間に別作業）",IF(COUNTIFS(実績!$W$6:$W$505,W9,実績!$AI$6:$AI$505,"&lt;"&amp;AJ9,実績!$AJ$6:$AJ$505,"&gt;"&amp;AI9,実績!$AK$6:$AK$505,"○",実績!$A$6:$A$505,A9)&gt;1,"同一記録の重複（1隻として数える）","")))</f>
        <v/>
      </c>
      <c r="AI9" s="18" t="n">
        <f aca="false">IF(OR(O9="",V9&lt;&gt;"候補・時刻要確認"),"",ROUND((D9-集計!$C$5)*1440+O9*1440,0))</f>
        <v>570</v>
      </c>
      <c r="AJ9" s="18" t="n">
        <f aca="false">IF(OR(P9="",V9&lt;&gt;"候補・時刻要確認"),"",ROUND((D9-集計!$C$5)*1440+P9*1440+IF(Q9="○",1440,0),0))</f>
        <v>630</v>
      </c>
      <c r="AK9" s="18" t="str">
        <f aca="false">IF(AND(AI9&lt;&gt;"",AJ9&lt;&gt;"",U9&lt;&gt;"○",AA9&lt;&gt;"通船・警戒船"),"○","")</f>
        <v>○</v>
      </c>
      <c r="AL9" s="18" t="str">
        <f aca="false">IF(AND(AK9="○",AD9&lt;&gt;"高炉原料"),"○","")</f>
        <v>○</v>
      </c>
      <c r="AM9" s="18" t="n">
        <f aca="false">IF(C9&lt;&gt;"○","",IF(COUNTIFS(実績!$A$6:$A$505,A9,実績!$AK$6:$AK$505,"○")=0,"",_xlfn.MINIFS(実績!$AI$6:$AI$505,実績!$A$6:$A$505,A9,実績!$AK$6:$AK$505,"○")))</f>
        <v>570</v>
      </c>
      <c r="AN9" s="18" t="n">
        <f aca="false">IF(C9&lt;&gt;"○","",IF(COUNTIFS(実績!$A$6:$A$505,A9,実績!$AK$6:$AK$505,"○")=0,"",_xlfn.MAXIFS(実績!$AJ$6:$AJ$505,実績!$A$6:$A$505,A9,実績!$AK$6:$AK$505,"○")))</f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115</v>
      </c>
    </row>
    <row r="6" customFormat="false" ht="15" hidden="false" customHeight="false" outlineLevel="0" collapsed="false">
      <c r="A6" s="22" t="s">
        <v>116</v>
      </c>
      <c r="B6" s="22"/>
      <c r="C6" s="17" t="n">
        <v>45962</v>
      </c>
      <c r="D6" s="17"/>
      <c r="E6" s="17"/>
    </row>
    <row r="7" customFormat="false" ht="15" hidden="false" customHeight="false" outlineLevel="0" collapsed="false">
      <c r="A7" s="22" t="s">
        <v>117</v>
      </c>
      <c r="B7" s="22"/>
      <c r="C7" s="23"/>
      <c r="D7" s="23"/>
      <c r="E7" s="23"/>
      <c r="F7" s="24" t="s">
        <v>118</v>
      </c>
    </row>
    <row r="8" customFormat="false" ht="15" hidden="false" customHeight="false" outlineLevel="0" collapsed="false">
      <c r="A8" s="22" t="s">
        <v>119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120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121</v>
      </c>
      <c r="B10" s="22"/>
      <c r="C10" s="26" t="s">
        <v>122</v>
      </c>
      <c r="D10" s="26"/>
      <c r="E10" s="26"/>
    </row>
    <row r="12" customFormat="false" ht="15" hidden="false" customHeight="false" outlineLevel="0" collapsed="false">
      <c r="A12" s="21" t="s">
        <v>123</v>
      </c>
    </row>
    <row r="13" customFormat="false" ht="39.55" hidden="false" customHeight="false" outlineLevel="0" collapsed="false">
      <c r="A13" s="15" t="s">
        <v>124</v>
      </c>
      <c r="B13" s="27" t="s">
        <v>125</v>
      </c>
      <c r="C13" s="14" t="s">
        <v>76</v>
      </c>
      <c r="D13" s="14" t="s">
        <v>126</v>
      </c>
      <c r="E13" s="27" t="s">
        <v>127</v>
      </c>
      <c r="F13" s="27" t="s">
        <v>128</v>
      </c>
      <c r="G13" s="27" t="s">
        <v>129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130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131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132</v>
      </c>
    </row>
    <row r="25" customFormat="false" ht="60" hidden="false" customHeight="true" outlineLevel="0" collapsed="false">
      <c r="A25" s="14" t="s">
        <v>133</v>
      </c>
      <c r="B25" s="14" t="s">
        <v>54</v>
      </c>
      <c r="C25" s="14" t="s">
        <v>53</v>
      </c>
      <c r="D25" s="14" t="s">
        <v>134</v>
      </c>
      <c r="E25" s="14" t="s">
        <v>135</v>
      </c>
      <c r="F25" s="14" t="s">
        <v>136</v>
      </c>
      <c r="G25" s="14" t="s">
        <v>137</v>
      </c>
      <c r="H25" s="14" t="s">
        <v>138</v>
      </c>
      <c r="I25" s="14" t="s">
        <v>139</v>
      </c>
      <c r="J25" s="27" t="s">
        <v>140</v>
      </c>
      <c r="K25" s="27" t="s">
        <v>141</v>
      </c>
      <c r="L25" s="27" t="s">
        <v>142</v>
      </c>
      <c r="M25" s="27" t="s">
        <v>143</v>
      </c>
      <c r="N25" s="27" t="s">
        <v>144</v>
      </c>
      <c r="O25" s="27" t="s">
        <v>145</v>
      </c>
      <c r="P25" s="27" t="s">
        <v>146</v>
      </c>
      <c r="Q25" s="14" t="s">
        <v>147</v>
      </c>
      <c r="R25" s="14" t="s">
        <v>148</v>
      </c>
      <c r="S25" s="27" t="s">
        <v>121</v>
      </c>
      <c r="T25" s="27" t="s">
        <v>149</v>
      </c>
      <c r="U25" s="14" t="s">
        <v>150</v>
      </c>
      <c r="V25" s="14" t="s">
        <v>151</v>
      </c>
      <c r="W25" s="14" t="s">
        <v>152</v>
      </c>
      <c r="X25" s="14" t="s">
        <v>56</v>
      </c>
      <c r="Y25" s="14" t="s">
        <v>153</v>
      </c>
    </row>
    <row r="26" customFormat="false" ht="15" hidden="false" customHeight="false" outlineLevel="0" collapsed="false">
      <c r="A26" s="18" t="s">
        <v>154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8" t="s">
        <v>155</v>
      </c>
      <c r="H26" s="18" t="n">
        <f aca="false">IF(C26="","",COUNTIF(実績!$A$6:$A$505,C26))</f>
        <v>2</v>
      </c>
      <c r="I26" s="19" t="n">
        <v>0.375</v>
      </c>
      <c r="J26" s="28"/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122</v>
      </c>
      <c r="T26" s="23"/>
      <c r="U26" s="18" t="n">
        <f aca="false">IF(C26="","",COUNTIF(変更・キャンセル!$B$26:$B$85,C26))</f>
        <v>0</v>
      </c>
      <c r="V26" s="2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  <c r="X26" s="17" t="n">
        <v>45962</v>
      </c>
      <c r="Y26" s="29" t="str">
        <f aca="false">IF(OR(C26="",J26=""),"",IF(J26&lt;1,X26+J26,J26))</f>
        <v/>
      </c>
    </row>
    <row r="27" customFormat="false" ht="15" hidden="false" customHeight="false" outlineLevel="0" collapsed="false">
      <c r="A27" s="18" t="s">
        <v>154</v>
      </c>
      <c r="B27" s="16" t="s">
        <v>104</v>
      </c>
      <c r="C27" s="16" t="s">
        <v>103</v>
      </c>
      <c r="D27" s="18" t="s">
        <v>105</v>
      </c>
      <c r="E27" s="18" t="s">
        <v>98</v>
      </c>
      <c r="F27" s="16" t="s">
        <v>99</v>
      </c>
      <c r="G27" s="18" t="s">
        <v>106</v>
      </c>
      <c r="H27" s="18" t="n">
        <f aca="false">IF(C27="","",COUNTIF(実績!$A$6:$A$505,C27))</f>
        <v>1</v>
      </c>
      <c r="I27" s="19" t="n">
        <v>0.375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122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45962</v>
      </c>
      <c r="Y27" s="29" t="str">
        <f aca="false">IF(OR(C27="",J27=""),"",IF(J27&lt;1,X27+J27,J27))</f>
        <v/>
      </c>
    </row>
    <row r="28" customFormat="false" ht="15" hidden="false" customHeight="false" outlineLevel="0" collapsed="false">
      <c r="A28" s="18" t="s">
        <v>154</v>
      </c>
      <c r="B28" s="16" t="s">
        <v>108</v>
      </c>
      <c r="C28" s="16" t="s">
        <v>107</v>
      </c>
      <c r="D28" s="18" t="s">
        <v>109</v>
      </c>
      <c r="E28" s="18" t="s">
        <v>110</v>
      </c>
      <c r="F28" s="16" t="s">
        <v>99</v>
      </c>
      <c r="G28" s="18" t="s">
        <v>111</v>
      </c>
      <c r="H28" s="18" t="n">
        <f aca="false">IF(C28="","",COUNTIF(実績!$A$6:$A$505,C28))</f>
        <v>1</v>
      </c>
      <c r="I28" s="19" t="n">
        <v>0.395833333333333</v>
      </c>
      <c r="J28" s="28"/>
      <c r="K28" s="23"/>
      <c r="L28" s="23"/>
      <c r="M28" s="23"/>
      <c r="N28" s="23"/>
      <c r="O28" s="23"/>
      <c r="P28" s="23"/>
      <c r="Q28" s="18" t="n">
        <f aca="false">IF(C28="","",COUNTA(K28:P28))</f>
        <v>0</v>
      </c>
      <c r="R28" s="18" t="str">
        <f aca="false">_xlfn.TEXTJOIN("・",TRUE(),K28:P28)</f>
        <v/>
      </c>
      <c r="S28" s="26" t="s">
        <v>122</v>
      </c>
      <c r="T28" s="23"/>
      <c r="U28" s="18" t="n">
        <f aca="false">IF(C28="","",COUNTIF(変更・キャンセル!$B$26:$B$85,C28))</f>
        <v>0</v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n">
        <v>45962</v>
      </c>
      <c r="Y28" s="29" t="str">
        <f aca="false">IF(OR(C28="",J28=""),"",IF(J28&lt;1,X28+J28,J28))</f>
        <v/>
      </c>
      <c r="Z28" s="30" t="s">
        <v>156</v>
      </c>
    </row>
    <row r="29" customFormat="false" ht="15" hidden="false" customHeight="false" outlineLevel="0" collapsed="false">
      <c r="A29" s="18" t="str">
        <f aca="false">IF(D29="","","予定のみ")</f>
        <v/>
      </c>
      <c r="B29" s="18" t="str">
        <f aca="false">IF(D29="","","11/01 予定のみ#01 "&amp;IF(J29="","--:--",TEXT(J29,"hh:mm"))&amp;" "&amp;E29&amp;" "&amp;D29)</f>
        <v/>
      </c>
      <c r="C29" s="18" t="str">
        <f aca="false">IF(D29="","","2025-11-01予定のみ#01")</f>
        <v/>
      </c>
      <c r="D29" s="23"/>
      <c r="E29" s="23"/>
      <c r="F29" s="23"/>
      <c r="G29" s="18" t="str">
        <f aca="false">IF(D29="","","（実績なし）")</f>
        <v/>
      </c>
      <c r="H29" s="18" t="str">
        <f aca="false">IF(C29="","",COUNTIF(実績!$A$6:$A$505,C29))</f>
        <v/>
      </c>
      <c r="I29" s="19"/>
      <c r="J29" s="28"/>
      <c r="K29" s="23"/>
      <c r="L29" s="23"/>
      <c r="M29" s="23"/>
      <c r="N29" s="23"/>
      <c r="O29" s="23"/>
      <c r="P29" s="23"/>
      <c r="Q29" s="18" t="str">
        <f aca="false">IF(C29="","",COUNTA(K29:P29))</f>
        <v/>
      </c>
      <c r="R29" s="18" t="str">
        <f aca="false">_xlfn.TEXTJOIN("・",TRUE(),K29:P29)</f>
        <v/>
      </c>
      <c r="S29" s="26"/>
      <c r="T29" s="23"/>
      <c r="U29" s="18" t="str">
        <f aca="false">IF(C29="","",COUNTIF(変更・キャンセル!$B$26:$B$85,C29))</f>
        <v/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str">
        <f aca="false">IF(D29="","",$C$6)</f>
        <v/>
      </c>
      <c r="Y29" s="29" t="str">
        <f aca="false">IF(OR(C29="",J29=""),"",IF(J29&lt;1,X29+J29,J29))</f>
        <v/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IF(D30="","","11/01 予定のみ#02 "&amp;IF(J30="","--:--",TEXT(J30,"hh:mm"))&amp;" "&amp;E30&amp;" "&amp;D30)</f>
        <v/>
      </c>
      <c r="C30" s="18" t="str">
        <f aca="false">IF(D30="","","2025-11-01予定のみ#02")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IF(D31="","","11/01 予定のみ#03 "&amp;IF(J31="","--:--",TEXT(J31,"hh:mm"))&amp;" "&amp;E31&amp;" "&amp;D31)</f>
        <v/>
      </c>
      <c r="C31" s="18" t="str">
        <f aca="false">IF(D31="","","2025-11-01予定のみ#03")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IF(D32="","","11/01 予定のみ#04 "&amp;IF(J32="","--:--",TEXT(J32,"hh:mm"))&amp;" "&amp;E32&amp;" "&amp;D32)</f>
        <v/>
      </c>
      <c r="C32" s="18" t="str">
        <f aca="false">IF(D32="","","2025-11-01予定のみ#04")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IF(D33="","","11/01 予定のみ#05 "&amp;IF(J33="","--:--",TEXT(J33,"hh:mm"))&amp;" "&amp;E33&amp;" "&amp;D33)</f>
        <v/>
      </c>
      <c r="C33" s="18" t="str">
        <f aca="false">IF(D33="","","2025-11-01予定のみ#05")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IF(D34="","","11/01 予定のみ#06 "&amp;IF(J34="","--:--",TEXT(J34,"hh:mm"))&amp;" "&amp;E34&amp;" "&amp;D34)</f>
        <v/>
      </c>
      <c r="C34" s="18" t="str">
        <f aca="false">IF(D34="","","2025-11-01予定のみ#06")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IF(D35="","","11/01 予定のみ#07 "&amp;IF(J35="","--:--",TEXT(J35,"hh:mm"))&amp;" "&amp;E35&amp;" "&amp;D35)</f>
        <v/>
      </c>
      <c r="C35" s="18" t="str">
        <f aca="false">IF(D35="","","2025-11-01予定のみ#07")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IF(D36="","","11/01 予定のみ#08 "&amp;IF(J36="","--:--",TEXT(J36,"hh:mm"))&amp;" "&amp;E36&amp;" "&amp;D36)</f>
        <v/>
      </c>
      <c r="C36" s="18" t="str">
        <f aca="false">IF(D36="","","2025-11-01予定のみ#08")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IF(D37="","","11/01 予定のみ#09 "&amp;IF(J37="","--:--",TEXT(J37,"hh:mm"))&amp;" "&amp;E37&amp;" "&amp;D37)</f>
        <v/>
      </c>
      <c r="C37" s="18" t="str">
        <f aca="false">IF(D37="","","2025-11-01予定のみ#09")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IF(D38="","","11/01 予定のみ#10 "&amp;IF(J38="","--:--",TEXT(J38,"hh:mm"))&amp;" "&amp;E38&amp;" "&amp;D38)</f>
        <v/>
      </c>
      <c r="C38" s="18" t="str">
        <f aca="false">IF(D38="","","2025-11-01予定のみ#10")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IF(D39="","","11/01 予定のみ#11 "&amp;IF(J39="","--:--",TEXT(J39,"hh:mm"))&amp;" "&amp;E39&amp;" "&amp;D39)</f>
        <v/>
      </c>
      <c r="C39" s="18" t="str">
        <f aca="false">IF(D39="","","2025-11-01予定のみ#11")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IF(D40="","","11/01 予定のみ#12 "&amp;IF(J40="","--:--",TEXT(J40,"hh:mm"))&amp;" "&amp;E40&amp;" "&amp;D40)</f>
        <v/>
      </c>
      <c r="C40" s="18" t="str">
        <f aca="false">IF(D40="","","2025-11-01予定のみ#12")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IF(D41="","","11/01 予定のみ#13 "&amp;IF(J41="","--:--",TEXT(J41,"hh:mm"))&amp;" "&amp;E41&amp;" "&amp;D41)</f>
        <v/>
      </c>
      <c r="C41" s="18" t="str">
        <f aca="false">IF(D41="","","2025-11-01予定のみ#13")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IF(D42="","","11/01 予定のみ#14 "&amp;IF(J42="","--:--",TEXT(J42,"hh:mm"))&amp;" "&amp;E42&amp;" "&amp;D42)</f>
        <v/>
      </c>
      <c r="C42" s="18" t="str">
        <f aca="false">IF(D42="","","2025-11-01予定のみ#14")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IF(D43="","","11/01 予定のみ#15 "&amp;IF(J43="","--:--",TEXT(J43,"hh:mm"))&amp;" "&amp;E43&amp;" "&amp;D43)</f>
        <v/>
      </c>
      <c r="C43" s="18" t="str">
        <f aca="false">IF(D43="","","2025-11-01予定のみ#15")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IF(D44="","","11/01 予定のみ#16 "&amp;IF(J44="","--:--",TEXT(J44,"hh:mm"))&amp;" "&amp;E44&amp;" "&amp;D44)</f>
        <v/>
      </c>
      <c r="C44" s="18" t="str">
        <f aca="false">IF(D44="","","2025-11-01予定のみ#16")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IF(D45="","","11/01 予定のみ#17 "&amp;IF(J45="","--:--",TEXT(J45,"hh:mm"))&amp;" "&amp;E45&amp;" "&amp;D45)</f>
        <v/>
      </c>
      <c r="C45" s="18" t="str">
        <f aca="false">IF(D45="","","2025-11-01予定のみ#17")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29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159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160</v>
      </c>
    </row>
    <row r="6" customFormat="false" ht="77.6" hidden="false" customHeight="false" outlineLevel="0" collapsed="false">
      <c r="A6" s="27" t="s">
        <v>161</v>
      </c>
      <c r="B6" s="27" t="s">
        <v>162</v>
      </c>
      <c r="C6" s="27" t="s">
        <v>163</v>
      </c>
      <c r="D6" s="14" t="s">
        <v>164</v>
      </c>
      <c r="E6" s="27" t="s">
        <v>129</v>
      </c>
      <c r="F6" s="27" t="s">
        <v>165</v>
      </c>
    </row>
    <row r="7" customFormat="false" ht="15" hidden="false" customHeight="false" outlineLevel="0" collapsed="false">
      <c r="A7" s="31" t="n">
        <v>45962</v>
      </c>
      <c r="B7" s="26" t="s">
        <v>122</v>
      </c>
      <c r="C7" s="23"/>
      <c r="D7" s="18" t="n">
        <f aca="false">IF(A7="","",IF(A7=集計!$C$5,集計!$C$14,"この試作では対象日のみ計算"))</f>
        <v>3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166</v>
      </c>
    </row>
    <row r="14" customFormat="false" ht="77.6" hidden="false" customHeight="false" outlineLevel="0" collapsed="false">
      <c r="A14" s="27" t="s">
        <v>167</v>
      </c>
      <c r="B14" s="14" t="s">
        <v>76</v>
      </c>
      <c r="C14" s="27" t="s">
        <v>168</v>
      </c>
      <c r="D14" s="27" t="s">
        <v>169</v>
      </c>
      <c r="E14" s="27" t="s">
        <v>170</v>
      </c>
      <c r="F14" s="27" t="s">
        <v>129</v>
      </c>
      <c r="G14" s="27" t="s">
        <v>171</v>
      </c>
      <c r="H14" s="14" t="s">
        <v>172</v>
      </c>
      <c r="I14" s="14" t="s">
        <v>173</v>
      </c>
      <c r="J14" s="14" t="s">
        <v>174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175</v>
      </c>
    </row>
    <row r="25" customFormat="false" ht="60" hidden="false" customHeight="true" outlineLevel="0" collapsed="false">
      <c r="A25" s="27" t="s">
        <v>176</v>
      </c>
      <c r="B25" s="14" t="s">
        <v>53</v>
      </c>
      <c r="C25" s="14" t="s">
        <v>59</v>
      </c>
      <c r="D25" s="14" t="s">
        <v>177</v>
      </c>
      <c r="E25" s="14" t="s">
        <v>153</v>
      </c>
      <c r="F25" s="14" t="s">
        <v>178</v>
      </c>
      <c r="G25" s="27" t="s">
        <v>179</v>
      </c>
      <c r="H25" s="27" t="s">
        <v>180</v>
      </c>
      <c r="I25" s="14" t="s">
        <v>181</v>
      </c>
      <c r="J25" s="27" t="s">
        <v>182</v>
      </c>
      <c r="K25" s="14" t="s">
        <v>183</v>
      </c>
      <c r="L25" s="27" t="s">
        <v>184</v>
      </c>
      <c r="M25" s="27" t="s">
        <v>185</v>
      </c>
      <c r="N25" s="27" t="s">
        <v>186</v>
      </c>
      <c r="O25" s="27" t="s">
        <v>187</v>
      </c>
      <c r="P25" s="27" t="s">
        <v>188</v>
      </c>
      <c r="Q25" s="27" t="s">
        <v>189</v>
      </c>
      <c r="R25" s="27" t="s">
        <v>190</v>
      </c>
      <c r="S25" s="27" t="s">
        <v>191</v>
      </c>
      <c r="T25" s="27" t="s">
        <v>192</v>
      </c>
      <c r="U25" s="27" t="s">
        <v>193</v>
      </c>
      <c r="V25" s="27" t="s">
        <v>194</v>
      </c>
      <c r="W25" s="27" t="s">
        <v>195</v>
      </c>
      <c r="X25" s="27" t="s">
        <v>129</v>
      </c>
      <c r="Y25" s="27" t="s">
        <v>165</v>
      </c>
      <c r="Z25" s="14" t="s">
        <v>196</v>
      </c>
      <c r="AA25" s="14" t="s">
        <v>197</v>
      </c>
      <c r="AB25" s="14" t="s">
        <v>198</v>
      </c>
      <c r="AC25" s="14" t="s">
        <v>199</v>
      </c>
      <c r="AD25" s="14" t="s">
        <v>56</v>
      </c>
    </row>
    <row r="26" customFormat="false" ht="15" hidden="false" customHeight="false" outlineLevel="0" collapsed="false">
      <c r="A26" s="23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29" t="str">
        <f aca="false">IF(A26="","",IFERROR(IF(INDEX(前日確定!$Y$26:$Y$45,MATCH(A26,前日確定!$B$26:$B$45,0))="","",INDEX(前日確定!$Y$26:$Y$45,MATCH(A26,前日確定!$B$26:$B$45,0))),""))</f>
        <v/>
      </c>
      <c r="F26" s="18" t="str">
        <f aca="false">IF(A26="","",IFERROR(INDEX(前日確定!$R$26:$R$45,MATCH(A26,前日確定!$B$26:$B$45,0)),""))</f>
        <v/>
      </c>
      <c r="G26" s="25"/>
      <c r="H26" s="23"/>
      <c r="I26" s="29" t="str">
        <f aca="false">IF(A26="","",E26)</f>
        <v/>
      </c>
      <c r="J26" s="28"/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/>
      </c>
      <c r="AA26" s="29" t="str">
        <f aca="false">IF(A26="","",IF(J26="",I26,IF(J26&lt;1,AD26+J26,J26)))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  <c r="AD26" s="17" t="str">
        <f aca="false">IF(A26="","",IFERROR(INDEX(前日確定!$X$26:$X$45,MATCH(A26,前日確定!$B$26:$B$45,0)),""))</f>
        <v/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200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201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202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125</v>
      </c>
      <c r="B5" s="14" t="s">
        <v>76</v>
      </c>
      <c r="C5" s="27" t="s">
        <v>203</v>
      </c>
      <c r="D5" s="27" t="s">
        <v>204</v>
      </c>
      <c r="E5" s="27" t="s">
        <v>129</v>
      </c>
      <c r="F5" s="27" t="s">
        <v>171</v>
      </c>
      <c r="G5" s="14" t="s">
        <v>205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208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125</v>
      </c>
      <c r="B5" s="14" t="s">
        <v>76</v>
      </c>
      <c r="C5" s="27" t="s">
        <v>209</v>
      </c>
      <c r="D5" s="27" t="s">
        <v>210</v>
      </c>
      <c r="E5" s="27" t="s">
        <v>211</v>
      </c>
      <c r="F5" s="27" t="s">
        <v>212</v>
      </c>
      <c r="G5" s="27" t="s">
        <v>129</v>
      </c>
      <c r="H5" s="27" t="s">
        <v>165</v>
      </c>
      <c r="I5" s="14" t="s">
        <v>213</v>
      </c>
      <c r="J5" s="14" t="s">
        <v>214</v>
      </c>
      <c r="K5" s="14" t="s">
        <v>75</v>
      </c>
      <c r="L5" s="14" t="s">
        <v>215</v>
      </c>
      <c r="M5" s="14" t="s">
        <v>216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220</v>
      </c>
      <c r="B5" s="27" t="s">
        <v>125</v>
      </c>
      <c r="C5" s="27" t="s">
        <v>221</v>
      </c>
      <c r="D5" s="27" t="s">
        <v>222</v>
      </c>
      <c r="E5" s="27" t="s">
        <v>223</v>
      </c>
      <c r="F5" s="27" t="s">
        <v>224</v>
      </c>
      <c r="G5" s="27" t="s">
        <v>225</v>
      </c>
      <c r="H5" s="27" t="s">
        <v>129</v>
      </c>
      <c r="I5" s="27" t="s">
        <v>226</v>
      </c>
      <c r="J5" s="14" t="s">
        <v>227</v>
      </c>
      <c r="K5" s="14" t="s">
        <v>228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232</v>
      </c>
    </row>
    <row r="5" customFormat="false" ht="60" hidden="false" customHeight="true" outlineLevel="0" collapsed="false">
      <c r="A5" s="27" t="s">
        <v>220</v>
      </c>
      <c r="B5" s="27" t="s">
        <v>233</v>
      </c>
      <c r="C5" s="27" t="s">
        <v>234</v>
      </c>
      <c r="D5" s="27" t="s">
        <v>235</v>
      </c>
      <c r="E5" s="27" t="s">
        <v>236</v>
      </c>
      <c r="F5" s="27" t="s">
        <v>237</v>
      </c>
      <c r="G5" s="27" t="s">
        <v>238</v>
      </c>
      <c r="H5" s="27" t="s">
        <v>239</v>
      </c>
      <c r="I5" s="14" t="s">
        <v>240</v>
      </c>
      <c r="J5" s="27" t="s">
        <v>241</v>
      </c>
      <c r="K5" s="27" t="s">
        <v>242</v>
      </c>
      <c r="L5" s="27" t="s">
        <v>165</v>
      </c>
      <c r="M5" s="27" t="s">
        <v>129</v>
      </c>
      <c r="N5" s="27" t="s">
        <v>171</v>
      </c>
      <c r="P5" s="32" t="s">
        <v>243</v>
      </c>
      <c r="Q5" s="32" t="s">
        <v>244</v>
      </c>
      <c r="R5" s="32" t="s">
        <v>245</v>
      </c>
      <c r="S5" s="32" t="s">
        <v>246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247</v>
      </c>
      <c r="Q6" s="33" t="s">
        <v>248</v>
      </c>
      <c r="R6" s="34" t="s">
        <v>249</v>
      </c>
      <c r="S6" s="34" t="s">
        <v>250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251</v>
      </c>
      <c r="Q7" s="33" t="s">
        <v>252</v>
      </c>
      <c r="R7" s="34" t="s">
        <v>253</v>
      </c>
      <c r="S7" s="34" t="s">
        <v>254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255</v>
      </c>
      <c r="Q8" s="33" t="s">
        <v>256</v>
      </c>
      <c r="R8" s="34" t="s">
        <v>257</v>
      </c>
      <c r="S8" s="34" t="s">
        <v>258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259</v>
      </c>
      <c r="Q9" s="33" t="s">
        <v>260</v>
      </c>
      <c r="R9" s="34" t="s">
        <v>261</v>
      </c>
      <c r="S9" s="34" t="s">
        <v>262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263</v>
      </c>
      <c r="Q10" s="33" t="s">
        <v>264</v>
      </c>
      <c r="R10" s="34" t="s">
        <v>265</v>
      </c>
      <c r="S10" s="34" t="s">
        <v>266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267</v>
      </c>
      <c r="Q11" s="33" t="s">
        <v>268</v>
      </c>
      <c r="R11" s="34" t="s">
        <v>269</v>
      </c>
      <c r="S11" s="34" t="s">
        <v>270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274</v>
      </c>
      <c r="Q4" s="30" t="s">
        <v>275</v>
      </c>
    </row>
    <row r="5" customFormat="false" ht="60" hidden="false" customHeight="true" outlineLevel="0" collapsed="false">
      <c r="A5" s="27" t="s">
        <v>276</v>
      </c>
      <c r="B5" s="27" t="s">
        <v>277</v>
      </c>
      <c r="C5" s="27" t="s">
        <v>220</v>
      </c>
      <c r="D5" s="27" t="s">
        <v>278</v>
      </c>
      <c r="E5" s="27" t="s">
        <v>233</v>
      </c>
      <c r="F5" s="27" t="s">
        <v>279</v>
      </c>
      <c r="G5" s="27" t="s">
        <v>241</v>
      </c>
      <c r="H5" s="27" t="s">
        <v>242</v>
      </c>
      <c r="I5" s="27" t="s">
        <v>129</v>
      </c>
      <c r="J5" s="27" t="s">
        <v>171</v>
      </c>
      <c r="K5" s="14" t="s">
        <v>75</v>
      </c>
      <c r="L5" s="14" t="s">
        <v>77</v>
      </c>
      <c r="M5" s="14" t="s">
        <v>280</v>
      </c>
      <c r="N5" s="14" t="s">
        <v>281</v>
      </c>
      <c r="O5" s="14" t="s">
        <v>282</v>
      </c>
      <c r="Q5" s="27" t="s">
        <v>283</v>
      </c>
      <c r="R5" s="27" t="s">
        <v>284</v>
      </c>
      <c r="S5" s="27" t="s">
        <v>129</v>
      </c>
      <c r="T5" s="27" t="s">
        <v>171</v>
      </c>
      <c r="V5" s="27" t="s">
        <v>285</v>
      </c>
      <c r="X5" s="27" t="s">
        <v>286</v>
      </c>
      <c r="Y5" s="27" t="s">
        <v>287</v>
      </c>
      <c r="Z5" s="27" t="s">
        <v>288</v>
      </c>
      <c r="AA5" s="27" t="s">
        <v>129</v>
      </c>
      <c r="AB5" s="27" t="s">
        <v>171</v>
      </c>
      <c r="AD5" s="27" t="s">
        <v>289</v>
      </c>
      <c r="AE5" s="27" t="s">
        <v>290</v>
      </c>
      <c r="AF5" s="27" t="s">
        <v>291</v>
      </c>
      <c r="AG5" s="27" t="s">
        <v>292</v>
      </c>
      <c r="AH5" s="27" t="s">
        <v>293</v>
      </c>
      <c r="AI5" s="27" t="s">
        <v>294</v>
      </c>
      <c r="AJ5" s="27" t="s">
        <v>295</v>
      </c>
      <c r="AK5" s="27" t="s">
        <v>296</v>
      </c>
      <c r="AL5" s="27" t="s">
        <v>297</v>
      </c>
      <c r="AM5" s="27" t="s">
        <v>298</v>
      </c>
      <c r="AN5" s="27" t="s">
        <v>299</v>
      </c>
      <c r="AO5" s="27" t="s">
        <v>300</v>
      </c>
      <c r="AP5" s="27" t="s">
        <v>301</v>
      </c>
      <c r="AQ5" s="27" t="s">
        <v>302</v>
      </c>
      <c r="AR5" s="27" t="s">
        <v>303</v>
      </c>
    </row>
    <row r="6" customFormat="false" ht="15" hidden="false" customHeight="false" outlineLevel="0" collapsed="false">
      <c r="A6" s="26" t="s">
        <v>304</v>
      </c>
      <c r="B6" s="26" t="s">
        <v>304</v>
      </c>
      <c r="C6" s="26" t="s">
        <v>305</v>
      </c>
      <c r="D6" s="26" t="s">
        <v>306</v>
      </c>
      <c r="E6" s="26" t="s">
        <v>122</v>
      </c>
      <c r="F6" s="23"/>
      <c r="G6" s="31"/>
      <c r="H6" s="31"/>
      <c r="I6" s="23" t="s">
        <v>307</v>
      </c>
      <c r="J6" s="26" t="s">
        <v>308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305</v>
      </c>
      <c r="R6" s="26" t="s">
        <v>305</v>
      </c>
      <c r="S6" s="23" t="s">
        <v>307</v>
      </c>
      <c r="T6" s="26" t="s">
        <v>309</v>
      </c>
      <c r="V6" s="26" t="s">
        <v>310</v>
      </c>
      <c r="X6" s="26" t="s">
        <v>100</v>
      </c>
      <c r="Y6" s="26" t="s">
        <v>311</v>
      </c>
      <c r="Z6" s="23"/>
      <c r="AA6" s="26" t="s">
        <v>312</v>
      </c>
      <c r="AB6" s="26" t="s">
        <v>122</v>
      </c>
      <c r="AD6" s="26" t="s">
        <v>122</v>
      </c>
      <c r="AE6" s="26" t="s">
        <v>122</v>
      </c>
      <c r="AF6" s="26" t="s">
        <v>313</v>
      </c>
      <c r="AG6" s="26" t="s">
        <v>314</v>
      </c>
      <c r="AH6" s="26" t="s">
        <v>315</v>
      </c>
      <c r="AI6" s="26" t="s">
        <v>316</v>
      </c>
      <c r="AJ6" s="26" t="s">
        <v>317</v>
      </c>
      <c r="AK6" s="26" t="s">
        <v>318</v>
      </c>
      <c r="AL6" s="26" t="s">
        <v>306</v>
      </c>
      <c r="AM6" s="26" t="s">
        <v>319</v>
      </c>
      <c r="AN6" s="26" t="s">
        <v>305</v>
      </c>
      <c r="AO6" s="26" t="s">
        <v>122</v>
      </c>
      <c r="AP6" s="26" t="s">
        <v>320</v>
      </c>
      <c r="AQ6" s="26" t="s">
        <v>321</v>
      </c>
      <c r="AR6" s="26" t="s">
        <v>322</v>
      </c>
    </row>
    <row r="7" customFormat="false" ht="15" hidden="false" customHeight="false" outlineLevel="0" collapsed="false">
      <c r="A7" s="26" t="s">
        <v>323</v>
      </c>
      <c r="B7" s="26" t="s">
        <v>323</v>
      </c>
      <c r="C7" s="26" t="s">
        <v>305</v>
      </c>
      <c r="D7" s="26" t="s">
        <v>306</v>
      </c>
      <c r="E7" s="26" t="s">
        <v>122</v>
      </c>
      <c r="F7" s="23"/>
      <c r="G7" s="31"/>
      <c r="H7" s="31"/>
      <c r="I7" s="23" t="s">
        <v>307</v>
      </c>
      <c r="J7" s="26" t="s">
        <v>308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324</v>
      </c>
      <c r="R7" s="26" t="s">
        <v>324</v>
      </c>
      <c r="S7" s="23" t="s">
        <v>307</v>
      </c>
      <c r="T7" s="26" t="s">
        <v>309</v>
      </c>
      <c r="V7" s="26" t="s">
        <v>325</v>
      </c>
      <c r="X7" s="23" t="s">
        <v>247</v>
      </c>
      <c r="Y7" s="26" t="s">
        <v>311</v>
      </c>
      <c r="Z7" s="23"/>
      <c r="AA7" s="26" t="s">
        <v>312</v>
      </c>
      <c r="AB7" s="26" t="s">
        <v>122</v>
      </c>
      <c r="AD7" s="26" t="s">
        <v>309</v>
      </c>
      <c r="AE7" s="26" t="s">
        <v>326</v>
      </c>
      <c r="AF7" s="26" t="s">
        <v>327</v>
      </c>
      <c r="AG7" s="26" t="s">
        <v>328</v>
      </c>
      <c r="AH7" s="26" t="s">
        <v>329</v>
      </c>
      <c r="AI7" s="26" t="s">
        <v>330</v>
      </c>
      <c r="AJ7" s="26" t="s">
        <v>331</v>
      </c>
      <c r="AK7" s="26" t="s">
        <v>332</v>
      </c>
      <c r="AL7" s="26" t="s">
        <v>333</v>
      </c>
      <c r="AM7" s="26" t="s">
        <v>334</v>
      </c>
      <c r="AN7" s="26" t="s">
        <v>324</v>
      </c>
      <c r="AO7" s="26" t="s">
        <v>335</v>
      </c>
      <c r="AP7" s="26" t="s">
        <v>311</v>
      </c>
      <c r="AQ7" s="26" t="s">
        <v>336</v>
      </c>
      <c r="AR7" s="26" t="s">
        <v>337</v>
      </c>
    </row>
    <row r="8" customFormat="false" ht="15" hidden="false" customHeight="false" outlineLevel="0" collapsed="false">
      <c r="A8" s="26" t="s">
        <v>338</v>
      </c>
      <c r="B8" s="26" t="s">
        <v>338</v>
      </c>
      <c r="C8" s="26" t="s">
        <v>305</v>
      </c>
      <c r="D8" s="26" t="s">
        <v>306</v>
      </c>
      <c r="E8" s="26" t="s">
        <v>122</v>
      </c>
      <c r="F8" s="23"/>
      <c r="G8" s="31"/>
      <c r="H8" s="31"/>
      <c r="I8" s="23" t="s">
        <v>307</v>
      </c>
      <c r="J8" s="26" t="s">
        <v>308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339</v>
      </c>
      <c r="R8" s="26" t="s">
        <v>340</v>
      </c>
      <c r="S8" s="23" t="s">
        <v>341</v>
      </c>
      <c r="T8" s="26" t="s">
        <v>122</v>
      </c>
      <c r="V8" s="26" t="s">
        <v>263</v>
      </c>
      <c r="X8" s="26" t="s">
        <v>342</v>
      </c>
      <c r="Y8" s="26" t="s">
        <v>320</v>
      </c>
      <c r="Z8" s="23"/>
      <c r="AA8" s="26" t="s">
        <v>312</v>
      </c>
      <c r="AB8" s="26" t="s">
        <v>122</v>
      </c>
      <c r="AD8" s="26" t="s">
        <v>343</v>
      </c>
      <c r="AE8" s="26" t="s">
        <v>344</v>
      </c>
      <c r="AF8" s="26" t="s">
        <v>345</v>
      </c>
      <c r="AG8" s="26" t="s">
        <v>346</v>
      </c>
      <c r="AH8" s="26" t="s">
        <v>347</v>
      </c>
      <c r="AI8" s="26" t="s">
        <v>348</v>
      </c>
      <c r="AJ8" s="26" t="s">
        <v>349</v>
      </c>
      <c r="AK8" s="26" t="s">
        <v>350</v>
      </c>
      <c r="AL8" s="26" t="s">
        <v>122</v>
      </c>
      <c r="AM8" s="26" t="s">
        <v>347</v>
      </c>
      <c r="AN8" s="26" t="s">
        <v>340</v>
      </c>
      <c r="AO8" s="26" t="s">
        <v>351</v>
      </c>
      <c r="AP8" s="26" t="s">
        <v>122</v>
      </c>
      <c r="AQ8" s="26" t="s">
        <v>352</v>
      </c>
      <c r="AR8" s="26"/>
    </row>
    <row r="9" customFormat="false" ht="15" hidden="false" customHeight="false" outlineLevel="0" collapsed="false">
      <c r="A9" s="26" t="s">
        <v>353</v>
      </c>
      <c r="B9" s="26" t="s">
        <v>353</v>
      </c>
      <c r="C9" s="26" t="s">
        <v>305</v>
      </c>
      <c r="D9" s="26" t="s">
        <v>306</v>
      </c>
      <c r="E9" s="26" t="s">
        <v>122</v>
      </c>
      <c r="F9" s="23"/>
      <c r="G9" s="31"/>
      <c r="H9" s="31"/>
      <c r="I9" s="23" t="s">
        <v>307</v>
      </c>
      <c r="J9" s="26" t="s">
        <v>308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354</v>
      </c>
      <c r="R9" s="26" t="s">
        <v>340</v>
      </c>
      <c r="S9" s="23" t="s">
        <v>341</v>
      </c>
      <c r="T9" s="26" t="s">
        <v>122</v>
      </c>
      <c r="V9" s="26" t="s">
        <v>355</v>
      </c>
      <c r="X9" s="26" t="s">
        <v>356</v>
      </c>
      <c r="Y9" s="26" t="s">
        <v>320</v>
      </c>
      <c r="Z9" s="23"/>
      <c r="AA9" s="26" t="s">
        <v>357</v>
      </c>
      <c r="AB9" s="26" t="s">
        <v>122</v>
      </c>
      <c r="AD9" s="26" t="s">
        <v>308</v>
      </c>
      <c r="AE9" s="26" t="s">
        <v>358</v>
      </c>
      <c r="AF9" s="26" t="s">
        <v>347</v>
      </c>
      <c r="AG9" s="26" t="s">
        <v>359</v>
      </c>
      <c r="AH9" s="26"/>
      <c r="AI9" s="26" t="s">
        <v>360</v>
      </c>
      <c r="AJ9" s="23" t="s">
        <v>361</v>
      </c>
      <c r="AK9" s="26" t="s">
        <v>362</v>
      </c>
      <c r="AL9" s="26"/>
      <c r="AM9" s="26"/>
      <c r="AN9" s="26" t="s">
        <v>122</v>
      </c>
      <c r="AO9" s="26"/>
      <c r="AP9" s="26"/>
      <c r="AQ9" s="26" t="s">
        <v>347</v>
      </c>
      <c r="AR9" s="26"/>
    </row>
    <row r="10" customFormat="false" ht="15" hidden="false" customHeight="false" outlineLevel="0" collapsed="false">
      <c r="A10" s="26" t="s">
        <v>363</v>
      </c>
      <c r="B10" s="26" t="s">
        <v>363</v>
      </c>
      <c r="C10" s="26" t="s">
        <v>305</v>
      </c>
      <c r="D10" s="26" t="s">
        <v>306</v>
      </c>
      <c r="E10" s="26" t="s">
        <v>122</v>
      </c>
      <c r="F10" s="23"/>
      <c r="G10" s="31"/>
      <c r="H10" s="31"/>
      <c r="I10" s="23" t="s">
        <v>307</v>
      </c>
      <c r="J10" s="26" t="s">
        <v>308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364</v>
      </c>
      <c r="R10" s="26" t="s">
        <v>340</v>
      </c>
      <c r="S10" s="23" t="s">
        <v>341</v>
      </c>
      <c r="T10" s="26" t="s">
        <v>122</v>
      </c>
      <c r="V10" s="26" t="s">
        <v>122</v>
      </c>
      <c r="X10" s="26" t="s">
        <v>365</v>
      </c>
      <c r="Y10" s="26" t="s">
        <v>122</v>
      </c>
      <c r="Z10" s="23" t="s">
        <v>95</v>
      </c>
      <c r="AA10" s="26" t="s">
        <v>366</v>
      </c>
      <c r="AB10" s="26" t="s">
        <v>122</v>
      </c>
      <c r="AD10" s="26" t="s">
        <v>367</v>
      </c>
      <c r="AE10" s="26"/>
      <c r="AF10" s="26"/>
      <c r="AG10" s="26" t="s">
        <v>368</v>
      </c>
      <c r="AH10" s="26"/>
      <c r="AI10" s="26" t="s">
        <v>369</v>
      </c>
      <c r="AJ10" s="23" t="s">
        <v>370</v>
      </c>
      <c r="AK10" s="26" t="s">
        <v>371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372</v>
      </c>
      <c r="B11" s="26"/>
      <c r="C11" s="26" t="s">
        <v>305</v>
      </c>
      <c r="D11" s="26" t="s">
        <v>306</v>
      </c>
      <c r="E11" s="26" t="s">
        <v>122</v>
      </c>
      <c r="F11" s="23" t="s">
        <v>95</v>
      </c>
      <c r="G11" s="31"/>
      <c r="H11" s="31"/>
      <c r="I11" s="26" t="s">
        <v>373</v>
      </c>
      <c r="J11" s="26" t="s">
        <v>343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374</v>
      </c>
      <c r="R11" s="26" t="s">
        <v>340</v>
      </c>
      <c r="S11" s="23" t="s">
        <v>307</v>
      </c>
      <c r="T11" s="26" t="s">
        <v>309</v>
      </c>
      <c r="V11" s="26"/>
      <c r="X11" s="26" t="s">
        <v>251</v>
      </c>
      <c r="Y11" s="26" t="s">
        <v>122</v>
      </c>
      <c r="Z11" s="23"/>
      <c r="AA11" s="26" t="s">
        <v>375</v>
      </c>
      <c r="AB11" s="26" t="s">
        <v>122</v>
      </c>
      <c r="AD11" s="26" t="s">
        <v>376</v>
      </c>
      <c r="AE11" s="26"/>
      <c r="AF11" s="26"/>
      <c r="AG11" s="26" t="s">
        <v>377</v>
      </c>
      <c r="AH11" s="26"/>
      <c r="AI11" s="26" t="s">
        <v>347</v>
      </c>
      <c r="AJ11" s="23" t="s">
        <v>378</v>
      </c>
      <c r="AK11" s="26" t="s">
        <v>122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379</v>
      </c>
      <c r="B12" s="26"/>
      <c r="C12" s="26" t="s">
        <v>305</v>
      </c>
      <c r="D12" s="26" t="s">
        <v>306</v>
      </c>
      <c r="E12" s="26" t="s">
        <v>122</v>
      </c>
      <c r="F12" s="23" t="s">
        <v>95</v>
      </c>
      <c r="G12" s="31"/>
      <c r="H12" s="31"/>
      <c r="I12" s="26" t="s">
        <v>380</v>
      </c>
      <c r="J12" s="26" t="s">
        <v>343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381</v>
      </c>
      <c r="R12" s="26" t="s">
        <v>340</v>
      </c>
      <c r="S12" s="23" t="s">
        <v>382</v>
      </c>
      <c r="T12" s="26" t="s">
        <v>122</v>
      </c>
      <c r="V12" s="26"/>
      <c r="X12" s="26" t="s">
        <v>383</v>
      </c>
      <c r="Y12" s="26" t="s">
        <v>122</v>
      </c>
      <c r="Z12" s="23"/>
      <c r="AA12" s="26" t="s">
        <v>122</v>
      </c>
      <c r="AB12" s="26" t="s">
        <v>122</v>
      </c>
      <c r="AD12" s="26" t="s">
        <v>384</v>
      </c>
      <c r="AE12" s="26"/>
      <c r="AF12" s="26"/>
      <c r="AG12" s="26" t="s">
        <v>385</v>
      </c>
      <c r="AH12" s="26"/>
      <c r="AI12" s="26"/>
      <c r="AJ12" s="23" t="s">
        <v>386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387</v>
      </c>
      <c r="B13" s="26"/>
      <c r="C13" s="26" t="s">
        <v>305</v>
      </c>
      <c r="D13" s="26" t="s">
        <v>306</v>
      </c>
      <c r="E13" s="26" t="s">
        <v>122</v>
      </c>
      <c r="F13" s="23" t="s">
        <v>95</v>
      </c>
      <c r="G13" s="31"/>
      <c r="H13" s="31"/>
      <c r="I13" s="26" t="s">
        <v>380</v>
      </c>
      <c r="J13" s="26" t="s">
        <v>343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388</v>
      </c>
      <c r="R13" s="26" t="s">
        <v>340</v>
      </c>
      <c r="S13" s="23" t="s">
        <v>382</v>
      </c>
      <c r="T13" s="26" t="s">
        <v>122</v>
      </c>
      <c r="V13" s="26"/>
      <c r="X13" s="26" t="s">
        <v>369</v>
      </c>
      <c r="Y13" s="26" t="s">
        <v>122</v>
      </c>
      <c r="Z13" s="23"/>
      <c r="AA13" s="26" t="s">
        <v>122</v>
      </c>
      <c r="AB13" s="26" t="s">
        <v>122</v>
      </c>
      <c r="AD13" s="26"/>
      <c r="AE13" s="26"/>
      <c r="AF13" s="26"/>
      <c r="AG13" s="26" t="s">
        <v>369</v>
      </c>
      <c r="AH13" s="26"/>
      <c r="AI13" s="26"/>
      <c r="AJ13" s="26" t="s">
        <v>369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389</v>
      </c>
      <c r="B14" s="26"/>
      <c r="C14" s="26" t="s">
        <v>305</v>
      </c>
      <c r="D14" s="26" t="s">
        <v>306</v>
      </c>
      <c r="E14" s="26" t="s">
        <v>122</v>
      </c>
      <c r="F14" s="23" t="s">
        <v>95</v>
      </c>
      <c r="G14" s="31"/>
      <c r="H14" s="31"/>
      <c r="I14" s="26" t="s">
        <v>380</v>
      </c>
      <c r="J14" s="26" t="s">
        <v>343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390</v>
      </c>
      <c r="R14" s="26" t="s">
        <v>340</v>
      </c>
      <c r="S14" s="23" t="s">
        <v>382</v>
      </c>
      <c r="T14" s="26" t="s">
        <v>122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347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391</v>
      </c>
      <c r="B15" s="26"/>
      <c r="C15" s="26" t="s">
        <v>305</v>
      </c>
      <c r="D15" s="26" t="s">
        <v>306</v>
      </c>
      <c r="E15" s="26" t="s">
        <v>122</v>
      </c>
      <c r="F15" s="23" t="s">
        <v>95</v>
      </c>
      <c r="G15" s="31"/>
      <c r="H15" s="31"/>
      <c r="I15" s="26" t="s">
        <v>380</v>
      </c>
      <c r="J15" s="26" t="s">
        <v>343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 t="s">
        <v>392</v>
      </c>
      <c r="R15" s="26" t="s">
        <v>340</v>
      </c>
      <c r="S15" s="26"/>
      <c r="T15" s="26" t="s">
        <v>309</v>
      </c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393</v>
      </c>
      <c r="B16" s="26" t="s">
        <v>393</v>
      </c>
      <c r="C16" s="26" t="s">
        <v>324</v>
      </c>
      <c r="D16" s="26" t="s">
        <v>306</v>
      </c>
      <c r="E16" s="26" t="s">
        <v>310</v>
      </c>
      <c r="F16" s="23"/>
      <c r="G16" s="31"/>
      <c r="H16" s="31"/>
      <c r="I16" s="23" t="s">
        <v>341</v>
      </c>
      <c r="J16" s="26" t="s">
        <v>367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394</v>
      </c>
      <c r="B17" s="26" t="s">
        <v>394</v>
      </c>
      <c r="C17" s="26" t="s">
        <v>324</v>
      </c>
      <c r="D17" s="26" t="s">
        <v>306</v>
      </c>
      <c r="E17" s="26" t="s">
        <v>310</v>
      </c>
      <c r="F17" s="23"/>
      <c r="G17" s="31"/>
      <c r="H17" s="31"/>
      <c r="I17" s="23" t="s">
        <v>341</v>
      </c>
      <c r="J17" s="26" t="s">
        <v>367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395</v>
      </c>
      <c r="B18" s="26"/>
      <c r="C18" s="26" t="s">
        <v>324</v>
      </c>
      <c r="D18" s="26" t="s">
        <v>306</v>
      </c>
      <c r="E18" s="26" t="s">
        <v>122</v>
      </c>
      <c r="F18" s="23" t="s">
        <v>95</v>
      </c>
      <c r="G18" s="31"/>
      <c r="H18" s="31"/>
      <c r="I18" s="26" t="s">
        <v>396</v>
      </c>
      <c r="J18" s="26" t="s">
        <v>343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397</v>
      </c>
      <c r="B19" s="26"/>
      <c r="C19" s="26" t="s">
        <v>324</v>
      </c>
      <c r="D19" s="26" t="s">
        <v>306</v>
      </c>
      <c r="E19" s="26" t="s">
        <v>122</v>
      </c>
      <c r="F19" s="23" t="s">
        <v>95</v>
      </c>
      <c r="G19" s="31"/>
      <c r="H19" s="31"/>
      <c r="I19" s="26" t="s">
        <v>380</v>
      </c>
      <c r="J19" s="26" t="s">
        <v>343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398</v>
      </c>
      <c r="B20" s="26" t="s">
        <v>398</v>
      </c>
      <c r="C20" s="26" t="s">
        <v>339</v>
      </c>
      <c r="D20" s="26" t="s">
        <v>306</v>
      </c>
      <c r="E20" s="26" t="s">
        <v>310</v>
      </c>
      <c r="F20" s="23"/>
      <c r="G20" s="31"/>
      <c r="H20" s="31"/>
      <c r="I20" s="26" t="s">
        <v>399</v>
      </c>
      <c r="J20" s="26" t="s">
        <v>376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400</v>
      </c>
      <c r="B21" s="26" t="s">
        <v>400</v>
      </c>
      <c r="C21" s="26" t="s">
        <v>339</v>
      </c>
      <c r="D21" s="26" t="s">
        <v>306</v>
      </c>
      <c r="E21" s="26" t="s">
        <v>310</v>
      </c>
      <c r="F21" s="23"/>
      <c r="G21" s="31"/>
      <c r="H21" s="31"/>
      <c r="I21" s="26" t="s">
        <v>399</v>
      </c>
      <c r="J21" s="26" t="s">
        <v>376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401</v>
      </c>
      <c r="B22" s="26" t="s">
        <v>401</v>
      </c>
      <c r="C22" s="26" t="s">
        <v>354</v>
      </c>
      <c r="D22" s="26" t="s">
        <v>306</v>
      </c>
      <c r="E22" s="26" t="s">
        <v>310</v>
      </c>
      <c r="F22" s="23"/>
      <c r="G22" s="31"/>
      <c r="H22" s="31"/>
      <c r="I22" s="26" t="s">
        <v>399</v>
      </c>
      <c r="J22" s="26" t="s">
        <v>376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402</v>
      </c>
      <c r="B23" s="26" t="s">
        <v>402</v>
      </c>
      <c r="C23" s="26" t="s">
        <v>354</v>
      </c>
      <c r="D23" s="26" t="s">
        <v>306</v>
      </c>
      <c r="E23" s="26" t="s">
        <v>310</v>
      </c>
      <c r="F23" s="23"/>
      <c r="G23" s="31"/>
      <c r="H23" s="31"/>
      <c r="I23" s="26" t="s">
        <v>399</v>
      </c>
      <c r="J23" s="26" t="s">
        <v>376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403</v>
      </c>
      <c r="B24" s="26" t="s">
        <v>403</v>
      </c>
      <c r="C24" s="26" t="s">
        <v>364</v>
      </c>
      <c r="D24" s="26" t="s">
        <v>306</v>
      </c>
      <c r="E24" s="26" t="s">
        <v>310</v>
      </c>
      <c r="F24" s="23"/>
      <c r="G24" s="31"/>
      <c r="H24" s="31"/>
      <c r="I24" s="26" t="s">
        <v>399</v>
      </c>
      <c r="J24" s="26" t="s">
        <v>376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404</v>
      </c>
      <c r="B25" s="26" t="s">
        <v>404</v>
      </c>
      <c r="C25" s="26" t="s">
        <v>374</v>
      </c>
      <c r="D25" s="26" t="s">
        <v>306</v>
      </c>
      <c r="E25" s="26" t="s">
        <v>310</v>
      </c>
      <c r="F25" s="23"/>
      <c r="G25" s="31"/>
      <c r="H25" s="31"/>
      <c r="I25" s="23" t="s">
        <v>405</v>
      </c>
      <c r="J25" s="26" t="s">
        <v>309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406</v>
      </c>
      <c r="B26" s="26" t="s">
        <v>406</v>
      </c>
      <c r="C26" s="26" t="s">
        <v>374</v>
      </c>
      <c r="D26" s="26" t="s">
        <v>306</v>
      </c>
      <c r="E26" s="26" t="s">
        <v>310</v>
      </c>
      <c r="F26" s="23"/>
      <c r="G26" s="31"/>
      <c r="H26" s="31"/>
      <c r="I26" s="23" t="s">
        <v>405</v>
      </c>
      <c r="J26" s="26" t="s">
        <v>309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407</v>
      </c>
      <c r="B27" s="26" t="s">
        <v>407</v>
      </c>
      <c r="C27" s="26" t="s">
        <v>374</v>
      </c>
      <c r="D27" s="26" t="s">
        <v>306</v>
      </c>
      <c r="E27" s="26" t="s">
        <v>310</v>
      </c>
      <c r="F27" s="23"/>
      <c r="G27" s="31"/>
      <c r="H27" s="31"/>
      <c r="I27" s="23" t="s">
        <v>405</v>
      </c>
      <c r="J27" s="26" t="s">
        <v>309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408</v>
      </c>
      <c r="B28" s="26" t="s">
        <v>408</v>
      </c>
      <c r="C28" s="26" t="s">
        <v>374</v>
      </c>
      <c r="D28" s="26" t="s">
        <v>306</v>
      </c>
      <c r="E28" s="26" t="s">
        <v>310</v>
      </c>
      <c r="F28" s="23"/>
      <c r="G28" s="31"/>
      <c r="H28" s="31"/>
      <c r="I28" s="23" t="s">
        <v>405</v>
      </c>
      <c r="J28" s="26" t="s">
        <v>309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409</v>
      </c>
      <c r="B29" s="26"/>
      <c r="C29" s="26"/>
      <c r="D29" s="26" t="s">
        <v>306</v>
      </c>
      <c r="E29" s="26" t="s">
        <v>122</v>
      </c>
      <c r="F29" s="23"/>
      <c r="G29" s="31"/>
      <c r="H29" s="31"/>
      <c r="I29" s="26" t="s">
        <v>410</v>
      </c>
      <c r="J29" s="26" t="s">
        <v>343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411</v>
      </c>
      <c r="B30" s="26"/>
      <c r="C30" s="26"/>
      <c r="D30" s="26" t="s">
        <v>306</v>
      </c>
      <c r="E30" s="26" t="s">
        <v>122</v>
      </c>
      <c r="F30" s="23"/>
      <c r="G30" s="31"/>
      <c r="H30" s="31"/>
      <c r="I30" s="26" t="s">
        <v>410</v>
      </c>
      <c r="J30" s="26" t="s">
        <v>343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412</v>
      </c>
      <c r="B31" s="26"/>
      <c r="C31" s="26"/>
      <c r="D31" s="26" t="s">
        <v>306</v>
      </c>
      <c r="E31" s="26" t="s">
        <v>122</v>
      </c>
      <c r="F31" s="23"/>
      <c r="G31" s="31"/>
      <c r="H31" s="31"/>
      <c r="I31" s="26" t="s">
        <v>413</v>
      </c>
      <c r="J31" s="26" t="s">
        <v>343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414</v>
      </c>
      <c r="B32" s="26"/>
      <c r="C32" s="26"/>
      <c r="D32" s="26" t="s">
        <v>306</v>
      </c>
      <c r="E32" s="26" t="s">
        <v>122</v>
      </c>
      <c r="F32" s="23"/>
      <c r="G32" s="31"/>
      <c r="H32" s="31"/>
      <c r="I32" s="26" t="s">
        <v>413</v>
      </c>
      <c r="J32" s="26" t="s">
        <v>343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415</v>
      </c>
      <c r="B33" s="26"/>
      <c r="C33" s="26"/>
      <c r="D33" s="26" t="s">
        <v>306</v>
      </c>
      <c r="E33" s="26" t="s">
        <v>122</v>
      </c>
      <c r="F33" s="23"/>
      <c r="G33" s="31"/>
      <c r="H33" s="31"/>
      <c r="I33" s="26" t="s">
        <v>413</v>
      </c>
      <c r="J33" s="26" t="s">
        <v>343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416</v>
      </c>
      <c r="B34" s="26"/>
      <c r="C34" s="26"/>
      <c r="D34" s="26" t="s">
        <v>306</v>
      </c>
      <c r="E34" s="26" t="s">
        <v>122</v>
      </c>
      <c r="F34" s="23"/>
      <c r="G34" s="31"/>
      <c r="H34" s="31"/>
      <c r="I34" s="26" t="s">
        <v>413</v>
      </c>
      <c r="J34" s="26" t="s">
        <v>343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417</v>
      </c>
      <c r="B35" s="26"/>
      <c r="C35" s="26"/>
      <c r="D35" s="26" t="s">
        <v>306</v>
      </c>
      <c r="E35" s="26" t="s">
        <v>122</v>
      </c>
      <c r="F35" s="23"/>
      <c r="G35" s="31"/>
      <c r="H35" s="31"/>
      <c r="I35" s="26" t="s">
        <v>418</v>
      </c>
      <c r="J35" s="26" t="s">
        <v>343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419</v>
      </c>
      <c r="B36" s="26"/>
      <c r="C36" s="26"/>
      <c r="D36" s="26" t="s">
        <v>306</v>
      </c>
      <c r="E36" s="26" t="s">
        <v>122</v>
      </c>
      <c r="F36" s="23"/>
      <c r="G36" s="31"/>
      <c r="H36" s="31"/>
      <c r="I36" s="26" t="s">
        <v>420</v>
      </c>
      <c r="J36" s="26" t="s">
        <v>343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421</v>
      </c>
      <c r="B37" s="26"/>
      <c r="C37" s="26"/>
      <c r="D37" s="26" t="s">
        <v>306</v>
      </c>
      <c r="E37" s="26" t="s">
        <v>122</v>
      </c>
      <c r="F37" s="23"/>
      <c r="G37" s="31"/>
      <c r="H37" s="31"/>
      <c r="I37" s="26" t="s">
        <v>422</v>
      </c>
      <c r="J37" s="26" t="s">
        <v>343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423</v>
      </c>
      <c r="B38" s="26"/>
      <c r="C38" s="26"/>
      <c r="D38" s="26" t="s">
        <v>122</v>
      </c>
      <c r="E38" s="26" t="s">
        <v>122</v>
      </c>
      <c r="F38" s="23"/>
      <c r="G38" s="31"/>
      <c r="H38" s="31"/>
      <c r="I38" s="26" t="s">
        <v>424</v>
      </c>
      <c r="J38" s="26" t="s">
        <v>384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425</v>
      </c>
      <c r="B39" s="26"/>
      <c r="C39" s="26"/>
      <c r="D39" s="26" t="s">
        <v>122</v>
      </c>
      <c r="E39" s="26" t="s">
        <v>122</v>
      </c>
      <c r="F39" s="23"/>
      <c r="G39" s="31"/>
      <c r="H39" s="31"/>
      <c r="I39" s="26" t="s">
        <v>424</v>
      </c>
      <c r="J39" s="26" t="s">
        <v>384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 t="s">
        <v>101</v>
      </c>
      <c r="B40" s="26"/>
      <c r="C40" s="26" t="s">
        <v>392</v>
      </c>
      <c r="D40" s="26" t="s">
        <v>306</v>
      </c>
      <c r="E40" s="26" t="s">
        <v>310</v>
      </c>
      <c r="F40" s="23"/>
      <c r="G40" s="31"/>
      <c r="H40" s="31"/>
      <c r="I40" s="26"/>
      <c r="J40" s="26" t="s">
        <v>309</v>
      </c>
      <c r="K40" s="18" t="str">
        <f aca="false">IF(A40="","",IF(B40="",A40,B40))</f>
        <v>試験A船</v>
      </c>
      <c r="L40" s="18" t="str">
        <f aca="false">IF(A40="","",IF(C40="","未確認",IFERROR(INDEX(マスター!$R$6:$R$45,MATCH(C40,マスター!$Q$6:$Q$45,0)),"未確認")))</f>
        <v>他社</v>
      </c>
      <c r="M40" s="18" t="str">
        <f aca="false">IF(A40="","",IF(AND(OR(G40="",G40&lt;=集計!$C$5),OR(H40="",H40&gt;=集計!$C$5)),"○",""))</f>
        <v>○</v>
      </c>
      <c r="N40" s="18" t="str">
        <f aca="false">IF(M40="○",A40,"")</f>
        <v>試験A船</v>
      </c>
      <c r="O40" s="18" t="str">
        <f aca="false">IF(OR(K40="",M40&lt;&gt;"○"),"",IF(COUNTIFS(K$6:K40,K40,M$6:M40,"○")=1,"○",""))</f>
        <v>○</v>
      </c>
      <c r="Q40" s="26"/>
      <c r="R40" s="26"/>
      <c r="S40" s="26"/>
      <c r="T40" s="26"/>
    </row>
    <row r="41" customFormat="false" ht="15" hidden="false" customHeight="false" outlineLevel="0" collapsed="false">
      <c r="A41" s="26" t="s">
        <v>106</v>
      </c>
      <c r="B41" s="26"/>
      <c r="C41" s="26" t="s">
        <v>392</v>
      </c>
      <c r="D41" s="26" t="s">
        <v>306</v>
      </c>
      <c r="E41" s="26" t="s">
        <v>310</v>
      </c>
      <c r="F41" s="23"/>
      <c r="G41" s="31"/>
      <c r="H41" s="31"/>
      <c r="I41" s="26"/>
      <c r="J41" s="26" t="s">
        <v>309</v>
      </c>
      <c r="K41" s="18" t="str">
        <f aca="false">IF(A41="","",IF(B41="",A41,B41))</f>
        <v>試験B船</v>
      </c>
      <c r="L41" s="18" t="str">
        <f aca="false">IF(A41="","",IF(C41="","未確認",IFERROR(INDEX(マスター!$R$6:$R$45,MATCH(C41,マスター!$Q$6:$Q$45,0)),"未確認")))</f>
        <v>他社</v>
      </c>
      <c r="M41" s="18" t="str">
        <f aca="false">IF(A41="","",IF(AND(OR(G41="",G41&lt;=集計!$C$5),OR(H41="",H41&gt;=集計!$C$5)),"○",""))</f>
        <v>○</v>
      </c>
      <c r="N41" s="18" t="str">
        <f aca="false">IF(M41="○",A41,"")</f>
        <v>試験B船</v>
      </c>
      <c r="O41" s="18" t="str">
        <f aca="false">IF(OR(K41="",M41&lt;&gt;"○"),"",IF(COUNTIFS(K$6:K41,K41,M$6:M41,"○")=1,"○",""))</f>
        <v>○</v>
      </c>
      <c r="Q41" s="26"/>
      <c r="R41" s="26"/>
      <c r="S41" s="26"/>
      <c r="T41" s="26"/>
    </row>
    <row r="42" customFormat="false" ht="15" hidden="false" customHeight="false" outlineLevel="0" collapsed="false">
      <c r="A42" s="26" t="s">
        <v>111</v>
      </c>
      <c r="B42" s="26"/>
      <c r="C42" s="26" t="s">
        <v>392</v>
      </c>
      <c r="D42" s="26" t="s">
        <v>306</v>
      </c>
      <c r="E42" s="26" t="s">
        <v>310</v>
      </c>
      <c r="F42" s="23"/>
      <c r="G42" s="31"/>
      <c r="H42" s="31"/>
      <c r="I42" s="26"/>
      <c r="J42" s="26" t="s">
        <v>309</v>
      </c>
      <c r="K42" s="18" t="str">
        <f aca="false">IF(A42="","",IF(B42="",A42,B42))</f>
        <v>試験C船</v>
      </c>
      <c r="L42" s="18" t="str">
        <f aca="false">IF(A42="","",IF(C42="","未確認",IFERROR(INDEX(マスター!$R$6:$R$45,MATCH(C42,マスター!$Q$6:$Q$45,0)),"未確認")))</f>
        <v>他社</v>
      </c>
      <c r="M42" s="18" t="str">
        <f aca="false">IF(A42="","",IF(AND(OR(G42="",G42&lt;=集計!$C$5),OR(H42="",H42&gt;=集計!$C$5)),"○",""))</f>
        <v>○</v>
      </c>
      <c r="N42" s="18" t="str">
        <f aca="false">IF(M42="○",A42,"")</f>
        <v>試験C船</v>
      </c>
      <c r="O42" s="18" t="str">
        <f aca="false">IF(OR(K42="",M42&lt;&gt;"○"),"",IF(COUNTIFS(K$6:K42,K42,M$6:M42,"○")=1,"○",""))</f>
        <v>○</v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429</v>
      </c>
      <c r="C5" s="17" t="n">
        <f aca="false">前日確定!$C$6</f>
        <v>45962</v>
      </c>
      <c r="D5" s="35" t="s">
        <v>430</v>
      </c>
    </row>
    <row r="6" customFormat="false" ht="15" hidden="false" customHeight="false" outlineLevel="0" collapsed="false">
      <c r="B6" s="5" t="s">
        <v>431</v>
      </c>
      <c r="C6" s="18" t="s">
        <v>102</v>
      </c>
      <c r="D6" s="35" t="s">
        <v>432</v>
      </c>
    </row>
    <row r="7" customFormat="false" ht="15" hidden="false" customHeight="false" outlineLevel="0" collapsed="false">
      <c r="B7" s="5" t="s">
        <v>433</v>
      </c>
      <c r="C7" s="36"/>
      <c r="D7" s="35" t="s">
        <v>434</v>
      </c>
    </row>
    <row r="8" customFormat="false" ht="15" hidden="false" customHeight="false" outlineLevel="0" collapsed="false">
      <c r="B8" s="21" t="s">
        <v>435</v>
      </c>
      <c r="F8" s="21" t="s">
        <v>436</v>
      </c>
      <c r="M8" s="21" t="s">
        <v>437</v>
      </c>
    </row>
    <row r="9" customFormat="false" ht="26.85" hidden="false" customHeight="false" outlineLevel="0" collapsed="false">
      <c r="B9" s="5" t="s">
        <v>438</v>
      </c>
      <c r="C9" s="18" t="n">
        <f aca="false">COUNTIF(実績!$C$6:$C$505,"○")</f>
        <v>3</v>
      </c>
      <c r="D9" s="35" t="s">
        <v>439</v>
      </c>
      <c r="F9" s="14" t="s">
        <v>440</v>
      </c>
      <c r="G9" s="14" t="s">
        <v>441</v>
      </c>
      <c r="H9" s="14" t="s">
        <v>442</v>
      </c>
      <c r="I9" s="14" t="s">
        <v>443</v>
      </c>
      <c r="J9" s="14" t="s">
        <v>444</v>
      </c>
      <c r="K9" s="14" t="s">
        <v>445</v>
      </c>
      <c r="M9" s="14" t="s">
        <v>446</v>
      </c>
      <c r="N9" s="19" t="n">
        <f aca="false">IF(C7&lt;&gt;"",C7,IF(C14=0,"",INDEX(_計算!$B$6:$B$293,MATCH(C14,_計算!$DS$6:$DS$293,0))))</f>
        <v>0.395833333333333</v>
      </c>
      <c r="O9" s="18" t="n">
        <f aca="false">IF(N9="","",ROUND(N9*1440,0))</f>
        <v>570</v>
      </c>
      <c r="P9" s="18" t="n">
        <f aca="false">IF(O9="",1,MIN(288,INT(O9/5)+1))</f>
        <v>115</v>
      </c>
    </row>
    <row r="10" customFormat="false" ht="15" hidden="false" customHeight="false" outlineLevel="0" collapsed="false">
      <c r="B10" s="5" t="s">
        <v>447</v>
      </c>
      <c r="C10" s="18" t="n">
        <f aca="false">COUNTA(実績!$R$6:$R$505)</f>
        <v>4</v>
      </c>
      <c r="D10" s="35" t="s">
        <v>448</v>
      </c>
      <c r="F10" s="16" t="s">
        <v>449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450</v>
      </c>
      <c r="N10" s="18" t="n">
        <f aca="false">COUNTIF($P$22:$P$141,M10)</f>
        <v>7</v>
      </c>
    </row>
    <row r="11" customFormat="false" ht="15" hidden="false" customHeight="false" outlineLevel="0" collapsed="false">
      <c r="B11" s="5" t="s">
        <v>451</v>
      </c>
      <c r="C11" s="18" t="n">
        <f aca="false">COUNTIF(実績!$U$6:$U$505,"○")</f>
        <v>0</v>
      </c>
      <c r="D11" s="35" t="s">
        <v>452</v>
      </c>
      <c r="F11" s="16" t="s">
        <v>453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454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455</v>
      </c>
      <c r="C12" s="18" t="n">
        <f aca="false">COUNTIF(実績!$V$6:$V$505,"時刻なし*")</f>
        <v>0</v>
      </c>
      <c r="D12" s="35" t="s">
        <v>452</v>
      </c>
      <c r="F12" s="16" t="s">
        <v>456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457</v>
      </c>
      <c r="N12" s="18" t="n">
        <f aca="false">COUNTIF($P$22:$P$141,M12)</f>
        <v>3</v>
      </c>
    </row>
    <row r="13" customFormat="false" ht="15" hidden="false" customHeight="false" outlineLevel="0" collapsed="false">
      <c r="B13" s="5" t="s">
        <v>458</v>
      </c>
      <c r="C13" s="18" t="n">
        <f aca="false">COUNTIF(実績!$AK$6:$AK$505,"○")</f>
        <v>4</v>
      </c>
      <c r="D13" s="35" t="s">
        <v>459</v>
      </c>
      <c r="F13" s="16" t="s">
        <v>460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461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462</v>
      </c>
      <c r="C14" s="18" t="n">
        <f aca="false">MAX(_計算!$DS$6:$DS$293)</f>
        <v>3</v>
      </c>
      <c r="D14" s="35" t="s">
        <v>463</v>
      </c>
      <c r="F14" s="16" t="s">
        <v>464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465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466</v>
      </c>
      <c r="C15" s="19" t="n">
        <f aca="false">IF(C14=0,"—",INDEX(_計算!$B$6:$B$293,MATCH(C14,_計算!$DS$6:$DS$293,0)))</f>
        <v>0.395833333333333</v>
      </c>
      <c r="F15" s="16" t="s">
        <v>467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468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469</v>
      </c>
      <c r="C16" s="18" t="n">
        <f aca="false">IF(C14=0,0,INDEX(_計算!$DT$6:$DT$293,MATCH(C14,_計算!$DS$6:$DS$293,0)))</f>
        <v>3</v>
      </c>
      <c r="D16" s="37" t="s">
        <v>470</v>
      </c>
      <c r="F16" s="16" t="s">
        <v>471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472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473</v>
      </c>
      <c r="C17" s="18" t="n">
        <f aca="false">COUNTIF(_計算!$DS$6:$DS$293,"&gt;=3")*5</f>
        <v>30</v>
      </c>
      <c r="F17" s="16" t="s">
        <v>474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475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476</v>
      </c>
      <c r="C18" s="18" t="n">
        <f aca="false">SUMPRODUCT((_計算!$DS$6:$DS$293&gt;=3)*(_計算!$DT$6:$DT$293&gt;=2))*5</f>
        <v>30</v>
      </c>
      <c r="F18" s="16" t="s">
        <v>477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478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479</v>
      </c>
      <c r="C19" s="18" t="n">
        <f aca="false">SUMPRODUCT((_計算!$DS$6:$DS$293&gt;=3)*(_計算!$DT$6:$DT$293&lt;2))*5</f>
        <v>0</v>
      </c>
      <c r="F19" s="16" t="s">
        <v>480</v>
      </c>
      <c r="G19" s="18" t="n">
        <f aca="false">MAX(_計算!DS114:DS125)</f>
        <v>3</v>
      </c>
      <c r="H19" s="18" t="n">
        <f aca="false">MAX(_計算!DT114:DT125)</f>
        <v>3</v>
      </c>
      <c r="I19" s="18" t="n">
        <f aca="false">MAX(_計算!DU114:DU125)</f>
        <v>0</v>
      </c>
      <c r="J19" s="18" t="n">
        <f aca="false">MAX(_計算!DV114:DV125)</f>
        <v>0</v>
      </c>
      <c r="K19" s="18" t="n">
        <f aca="false">MAX(_計算2!DS114:DS125)</f>
        <v>3</v>
      </c>
      <c r="M19" s="18" t="s">
        <v>481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482</v>
      </c>
      <c r="C20" s="18" t="n">
        <f aca="false">COUNTIF(_計算!$DS$6:$DS$293,"&gt;=4")*5</f>
        <v>0</v>
      </c>
      <c r="F20" s="16" t="s">
        <v>483</v>
      </c>
      <c r="G20" s="18" t="n">
        <f aca="false">MAX(_計算!DS126:DS137)</f>
        <v>1</v>
      </c>
      <c r="H20" s="18" t="n">
        <f aca="false">MAX(_計算!DT126:DT137)</f>
        <v>1</v>
      </c>
      <c r="I20" s="18" t="n">
        <f aca="false">MAX(_計算!DU126:DU137)</f>
        <v>0</v>
      </c>
      <c r="J20" s="18" t="n">
        <f aca="false">MAX(_計算!DV126:DV137)</f>
        <v>0</v>
      </c>
      <c r="K20" s="18" t="n">
        <f aca="false">MAX(_計算2!DS126:DS137)</f>
        <v>1</v>
      </c>
      <c r="M20" s="35" t="s">
        <v>484</v>
      </c>
    </row>
    <row r="21" customFormat="false" ht="26.85" hidden="false" customHeight="false" outlineLevel="0" collapsed="false">
      <c r="B21" s="5" t="s">
        <v>485</v>
      </c>
      <c r="C21" s="18" t="n">
        <f aca="false">COUNTIF(_計算!$DS$6:$DS$293,"&gt;=5")*5</f>
        <v>0</v>
      </c>
      <c r="F21" s="16" t="s">
        <v>486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487</v>
      </c>
      <c r="N21" s="14" t="s">
        <v>76</v>
      </c>
      <c r="O21" s="14" t="s">
        <v>77</v>
      </c>
      <c r="P21" s="14" t="s">
        <v>488</v>
      </c>
    </row>
    <row r="22" customFormat="false" ht="15" hidden="false" customHeight="false" outlineLevel="0" collapsed="false">
      <c r="B22" s="5" t="s">
        <v>489</v>
      </c>
      <c r="C22" s="18" t="n">
        <f aca="false">MAX(_計算!$DU$6:$DU$293)</f>
        <v>0</v>
      </c>
      <c r="D22" s="35" t="s">
        <v>490</v>
      </c>
      <c r="F22" s="16" t="s">
        <v>491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492</v>
      </c>
      <c r="C23" s="18" t="n">
        <f aca="false">MAX(_計算!$DV$6:$DV$293)</f>
        <v>0</v>
      </c>
      <c r="F23" s="16" t="s">
        <v>493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494</v>
      </c>
      <c r="C24" s="18" t="n">
        <f aca="false">COUNTIF(実績!$AH$6:$AH$505,"重複配船*")</f>
        <v>0</v>
      </c>
      <c r="D24" s="35" t="s">
        <v>495</v>
      </c>
      <c r="F24" s="16" t="s">
        <v>496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497</v>
      </c>
      <c r="C25" s="18" t="n">
        <f aca="false">COUNTIF(実績!$AH$6:$AH$505,"同一記録*")</f>
        <v>2</v>
      </c>
      <c r="D25" s="37" t="s">
        <v>498</v>
      </c>
      <c r="F25" s="16" t="s">
        <v>499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500</v>
      </c>
      <c r="C26" s="18" t="n">
        <f aca="false">COUNTIF(実績!$X$6:$X$505,"マスター未登録")</f>
        <v>0</v>
      </c>
      <c r="D26" s="35" t="s">
        <v>501</v>
      </c>
      <c r="F26" s="16" t="s">
        <v>502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503</v>
      </c>
      <c r="C27" s="18" t="n">
        <f aca="false">COUNTA(実績!$R$6:$R$505)-COUNTIF(実績!$Z$6:$Z$505,"確認済み")</f>
        <v>0</v>
      </c>
      <c r="D27" s="35" t="s">
        <v>504</v>
      </c>
      <c r="F27" s="16" t="s">
        <v>505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供給可能（待機）</v>
      </c>
    </row>
    <row r="28" customFormat="false" ht="15" hidden="false" customHeight="false" outlineLevel="0" collapsed="false">
      <c r="F28" s="16" t="s">
        <v>506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供給可能（待機）</v>
      </c>
    </row>
    <row r="29" customFormat="false" ht="15" hidden="false" customHeight="false" outlineLevel="0" collapsed="false">
      <c r="B29" s="21" t="s">
        <v>507</v>
      </c>
      <c r="F29" s="16" t="s">
        <v>508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509</v>
      </c>
      <c r="C30" s="18" t="n">
        <f aca="false">C10</f>
        <v>4</v>
      </c>
      <c r="F30" s="16" t="s">
        <v>510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511</v>
      </c>
      <c r="C31" s="18" t="n">
        <f aca="false">COUNTIFS(実績!$R$6:$R$505,"&lt;&gt;",実績!$AD$6:$AD$505,"&lt;&gt;高炉原料")</f>
        <v>4</v>
      </c>
      <c r="D31" s="35" t="s">
        <v>512</v>
      </c>
      <c r="F31" s="16" t="s">
        <v>513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514</v>
      </c>
      <c r="C32" s="18" t="n">
        <f aca="false">COUNTIFS(実績!$R$6:$R$505,"&lt;&gt;",実績!$AD$6:$AD$505,"未確認")</f>
        <v>0</v>
      </c>
      <c r="D32" s="35" t="s">
        <v>515</v>
      </c>
      <c r="F32" s="16" t="s">
        <v>516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517</v>
      </c>
      <c r="C33" s="18" t="n">
        <f aca="false">C14</f>
        <v>3</v>
      </c>
      <c r="F33" s="16" t="s">
        <v>518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519</v>
      </c>
      <c r="C34" s="18" t="n">
        <f aca="false">MAX(_計算2!$DS$6:$DS$293)</f>
        <v>3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520</v>
      </c>
      <c r="F36" s="21" t="s">
        <v>521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522</v>
      </c>
      <c r="D37" s="14" t="s">
        <v>523</v>
      </c>
      <c r="F37" s="14" t="s">
        <v>76</v>
      </c>
      <c r="G37" s="14" t="s">
        <v>77</v>
      </c>
      <c r="H37" s="14" t="s">
        <v>522</v>
      </c>
      <c r="I37" s="14" t="s">
        <v>523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305</v>
      </c>
      <c r="C38" s="18" t="n">
        <f aca="false">COUNTIF(実績!$Y$6:$Y$505,B38)</f>
        <v>0</v>
      </c>
      <c r="D38" s="18" t="n">
        <f aca="false">SUMIF(_計算!$C$2:$DR$2,B38,_計算!$C$4:$DR$4)</f>
        <v>0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0</v>
      </c>
      <c r="I38" s="18" t="n">
        <f aca="false">IF(F38="","",SUMIF(_計算!$C$1:$DR$1,F38,_計算!$C$4:$DR$4))</f>
        <v>0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324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340</v>
      </c>
      <c r="C40" s="18" t="n">
        <f aca="false">COUNTIF(実績!$Y$6:$Y$505,B40)</f>
        <v>4</v>
      </c>
      <c r="D40" s="18" t="n">
        <f aca="false">SUMIF(_計算!$C$2:$DR$2,B40,_計算!$C$4:$DR$4)</f>
        <v>3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122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524</v>
      </c>
      <c r="C42" s="18" t="n">
        <f aca="false">COUNTIF(実績!$Y$6:$Y$505,B42)</f>
        <v>0</v>
      </c>
      <c r="D42" s="16" t="s">
        <v>525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526</v>
      </c>
      <c r="C44" s="18" t="n">
        <f aca="false">COUNTIFS(実績!$AB$6:$AB$505,"安瀬*",実績!$Y$6:$Y$505,"&lt;&gt;製鉄曳船",実績!$Y$6:$Y$505,"&lt;&gt;西日本海運")</f>
        <v>0</v>
      </c>
      <c r="D44" s="35" t="s">
        <v>527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528</v>
      </c>
      <c r="C45" s="18" t="n">
        <f aca="false">COUNTIFS(実績!$AB$6:$AB$505,"",実績!$Y$6:$Y$505,"他社")+COUNTIFS(実績!$AB$6:$AB$505,"",実績!$Y$6:$Y$505,"未確認")</f>
        <v>4</v>
      </c>
      <c r="D45" s="35" t="s">
        <v>529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530</v>
      </c>
      <c r="F47" s="18" t="str">
        <f aca="false">IF(マスター!$Q$15="","",マスター!$Q$15)</f>
        <v>試験会社</v>
      </c>
      <c r="G47" s="18" t="str">
        <f aca="false">IF(F47="","",マスター!$R$15)</f>
        <v>他社</v>
      </c>
      <c r="H47" s="18" t="n">
        <f aca="false">IF(F47="","",COUNTIF(実績!$X$6:$X$505,F47))</f>
        <v>4</v>
      </c>
      <c r="I47" s="18" t="n">
        <f aca="false">IF(F47="","",SUMIF(_計算!$C$1:$DR$1,F47,_計算!$C$4:$DR$4))</f>
        <v>3</v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531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532</v>
      </c>
      <c r="C49" s="18" t="n">
        <f aca="false">COUNT(前日確定!$J$26:$J$45)</f>
        <v>0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533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534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535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536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537</v>
      </c>
      <c r="C54" s="18" t="n">
        <f aca="false">前日確定!$C$23</f>
        <v>0</v>
      </c>
      <c r="D54" s="35" t="s">
        <v>538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539</v>
      </c>
      <c r="C55" s="18" t="n">
        <f aca="false">C10-C11</f>
        <v>4</v>
      </c>
      <c r="D55" s="35" t="s">
        <v>540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541</v>
      </c>
      <c r="C56" s="18" t="n">
        <f aca="false">C14</f>
        <v>3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>試験A船</v>
      </c>
      <c r="N56" s="18" t="str">
        <f aca="false">IF(M56="","",IF(マスター!$C$40="","未確認",マスター!$C$40))</f>
        <v>試験会社</v>
      </c>
      <c r="O56" s="18" t="str">
        <f aca="false">IF(M56="","",マスター!$L$40)</f>
        <v>他社</v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>作業中</v>
      </c>
    </row>
    <row r="57" customFormat="false" ht="15" hidden="false" customHeight="false" outlineLevel="0" collapsed="false">
      <c r="B57" s="5" t="s">
        <v>542</v>
      </c>
      <c r="C57" s="18" t="s">
        <v>543</v>
      </c>
      <c r="D57" s="35" t="s">
        <v>544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>試験B船</v>
      </c>
      <c r="N57" s="18" t="str">
        <f aca="false">IF(M57="","",IF(マスター!$C$41="","未確認",マスター!$C$41))</f>
        <v>試験会社</v>
      </c>
      <c r="O57" s="18" t="str">
        <f aca="false">IF(M57="","",マスター!$L$41)</f>
        <v>他社</v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>作業中</v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>試験C船</v>
      </c>
      <c r="N58" s="18" t="str">
        <f aca="false">IF(M58="","",IF(マスター!$C$42="","未確認",マスター!$C$42))</f>
        <v>試験会社</v>
      </c>
      <c r="O58" s="18" t="str">
        <f aca="false">IF(M58="","",マスター!$L$42)</f>
        <v>他社</v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>作業中</v>
      </c>
    </row>
    <row r="59" customFormat="false" ht="15" hidden="false" customHeight="false" outlineLevel="0" collapsed="false">
      <c r="B59" s="21" t="s">
        <v>545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546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547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548</v>
      </c>
      <c r="C62" s="18" t="n">
        <f aca="false">COUNTA(変更・キャンセル!$A$26:$A$85)</f>
        <v>0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549</v>
      </c>
      <c r="C63" s="18" t="n">
        <f aca="false">SUMPRODUCT((変更・キャンセル!$B$26:$B$85&lt;&gt;"")/COUNTIF(変更・キャンセル!$B$26:$B$85,変更・キャンセル!$B$26:$B$85&amp;""))</f>
        <v>0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550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551</v>
      </c>
      <c r="C65" s="18" t="n">
        <f aca="false">COUNTIFS(変更・キャンセル!$R$26:$R$85,"○",変更・キャンセル!$S$26:$S$85,"当日・基地発後")</f>
        <v>0</v>
      </c>
      <c r="D65" s="35" t="s">
        <v>552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553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554</v>
      </c>
      <c r="C67" s="18" t="n">
        <f aca="false">COUNTA(変更・キャンセル!$A$15:$A$22)-COUNTIF(変更・キャンセル!$H$15:$H$22,"同一呼出*")</f>
        <v>0</v>
      </c>
      <c r="D67" s="35" t="s">
        <v>555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556</v>
      </c>
      <c r="C68" s="18" t="n">
        <f aca="false">SUMIFS(変更・キャンセル!$J$15:$J$22,変更・キャンセル!$A$15:$A$22,"&lt;&gt;",変更・キャンセル!$H$15:$H$22,"")</f>
        <v>0</v>
      </c>
      <c r="D68" s="35" t="s">
        <v>557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558</v>
      </c>
      <c r="C69" s="18" t="n">
        <f aca="false">COUNTIFS(変更・キャンセル!$E$15:$E$22,"乗組員の出勤手配の不足",変更・キャンセル!$H$15:$H$22,"")</f>
        <v>0</v>
      </c>
      <c r="D69" s="35" t="s">
        <v>559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560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561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562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563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564</v>
      </c>
      <c r="C75" s="18" t="n">
        <f aca="false">COUNTIF(他社配置!$J$6:$J$55,"○")</f>
        <v>0</v>
      </c>
      <c r="D75" s="35" t="s">
        <v>565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566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567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試験A船</v>
      </c>
      <c r="AL3" s="0" t="str">
        <f aca="false">IF(マスター!$O$41&lt;&gt;"○","",マスター!$K$41)</f>
        <v>試験B船</v>
      </c>
      <c r="AM3" s="0" t="str">
        <f aca="false">IF(マスター!$O$42&lt;&gt;"○","",マスター!$K$42)</f>
        <v>試験C船</v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570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0</v>
      </c>
      <c r="I4" s="0" t="n">
        <f aca="false">IF(I$3="",0,IF(COUNTIFS(実績!$W$6:$W$505,I$3,実績!$AK$6:$AK$505,"○")&gt;0,1,0))</f>
        <v>0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1</v>
      </c>
      <c r="AL4" s="0" t="n">
        <f aca="false">IF(AL$3="",0,IF(COUNTIFS(実績!$W$6:$W$505,AL$3,実績!$AK$6:$AK$505,"○")&gt;0,1,0))</f>
        <v>1</v>
      </c>
      <c r="AM4" s="0" t="n">
        <f aca="false">IF(AM$3="",0,IF(COUNTIFS(実績!$W$6:$W$505,AM$3,実績!$AK$6:$AK$505,"○")&gt;0,1,0))</f>
        <v>1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571</v>
      </c>
      <c r="B5" s="38" t="s">
        <v>572</v>
      </c>
      <c r="DS5" s="38" t="s">
        <v>573</v>
      </c>
      <c r="DT5" s="38" t="s">
        <v>574</v>
      </c>
      <c r="DU5" s="38" t="s">
        <v>575</v>
      </c>
      <c r="DV5" s="38" t="s">
        <v>324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0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0</v>
      </c>
      <c r="DT6" s="40" t="n">
        <f aca="false">SUMPRODUCT((実績!$C$6:$C$505="○")*ISNUMBER(実績!$AM$6:$AM$505)*(実績!$AM$6:$AM$505&lt;=$A6)*(実績!$AN$6:$AN$505&gt;$A6))</f>
        <v>0</v>
      </c>
      <c r="DU6" s="40" t="n">
        <f aca="false">SUMIF($C$2:$DR$2,"製鉄曳船",C6:DR6)</f>
        <v>0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0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0</v>
      </c>
      <c r="DT7" s="40" t="n">
        <f aca="false">SUMPRODUCT((実績!$C$6:$C$505="○")*ISNUMBER(実績!$AM$6:$AM$505)*(実績!$AM$6:$AM$505&lt;=$A7)*(実績!$AN$6:$AN$505&gt;$A7))</f>
        <v>0</v>
      </c>
      <c r="DU7" s="40" t="n">
        <f aca="false">SUMIF($C$2:$DR$2,"製鉄曳船",C7:DR7)</f>
        <v>0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0</v>
      </c>
      <c r="I8" s="40" t="n">
        <f aca="false">IF(I$4=0,0,IF(COUNTIFS(実績!$W$6:$W$505,I$3,実績!$AI$6:$AI$505,"&lt;="&amp;$A8,実績!$AJ$6:$AJ$505,"&gt;"&amp;$A8,実績!$AK$6:$AK$505,"○")&gt;0,1,0))</f>
        <v>0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0</v>
      </c>
      <c r="DT8" s="40" t="n">
        <f aca="false">SUMPRODUCT((実績!$C$6:$C$505="○")*ISNUMBER(実績!$AM$6:$AM$505)*(実績!$AM$6:$AM$505&lt;=$A8)*(実績!$AN$6:$AN$505&gt;$A8))</f>
        <v>0</v>
      </c>
      <c r="DU8" s="40" t="n">
        <f aca="false">SUMIF($C$2:$DR$2,"製鉄曳船",C8:DR8)</f>
        <v>0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0</v>
      </c>
      <c r="I9" s="40" t="n">
        <f aca="false">IF(I$4=0,0,IF(COUNTIFS(実績!$W$6:$W$505,I$3,実績!$AI$6:$AI$505,"&lt;="&amp;$A9,実績!$AJ$6:$AJ$505,"&gt;"&amp;$A9,実績!$AK$6:$AK$505,"○")&gt;0,1,0))</f>
        <v>0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0</v>
      </c>
      <c r="DT9" s="40" t="n">
        <f aca="false">SUMPRODUCT((実績!$C$6:$C$505="○")*ISNUMBER(実績!$AM$6:$AM$505)*(実績!$AM$6:$AM$505&lt;=$A9)*(実績!$AN$6:$AN$505&gt;$A9))</f>
        <v>0</v>
      </c>
      <c r="DU9" s="40" t="n">
        <f aca="false">SUMIF($C$2:$DR$2,"製鉄曳船",C9:DR9)</f>
        <v>0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0</v>
      </c>
      <c r="I10" s="40" t="n">
        <f aca="false">IF(I$4=0,0,IF(COUNTIFS(実績!$W$6:$W$505,I$3,実績!$AI$6:$AI$505,"&lt;="&amp;$A10,実績!$AJ$6:$AJ$505,"&gt;"&amp;$A10,実績!$AK$6:$AK$505,"○")&gt;0,1,0))</f>
        <v>0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0</v>
      </c>
      <c r="DT10" s="40" t="n">
        <f aca="false">SUMPRODUCT((実績!$C$6:$C$505="○")*ISNUMBER(実績!$AM$6:$AM$505)*(実績!$AM$6:$AM$505&lt;=$A10)*(実績!$AN$6:$AN$505&gt;$A10))</f>
        <v>0</v>
      </c>
      <c r="DU10" s="40" t="n">
        <f aca="false">SUMIF($C$2:$DR$2,"製鉄曳船",C10:DR10)</f>
        <v>0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0</v>
      </c>
      <c r="I11" s="40" t="n">
        <f aca="false">IF(I$4=0,0,IF(COUNTIFS(実績!$W$6:$W$505,I$3,実績!$AI$6:$AI$505,"&lt;="&amp;$A11,実績!$AJ$6:$AJ$505,"&gt;"&amp;$A11,実績!$AK$6:$AK$505,"○")&gt;0,1,0))</f>
        <v>0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0</v>
      </c>
      <c r="DT11" s="40" t="n">
        <f aca="false">SUMPRODUCT((実績!$C$6:$C$505="○")*ISNUMBER(実績!$AM$6:$AM$505)*(実績!$AM$6:$AM$505&lt;=$A11)*(実績!$AN$6:$AN$505&gt;$A11))</f>
        <v>0</v>
      </c>
      <c r="DU11" s="40" t="n">
        <f aca="false">SUMIF($C$2:$DR$2,"製鉄曳船",C11:DR11)</f>
        <v>0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0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0</v>
      </c>
      <c r="DT12" s="40" t="n">
        <f aca="false">SUMPRODUCT((実績!$C$6:$C$505="○")*ISNUMBER(実績!$AM$6:$AM$505)*(実績!$AM$6:$AM$505&lt;=$A12)*(実績!$AN$6:$AN$505&gt;$A12))</f>
        <v>0</v>
      </c>
      <c r="DU12" s="40" t="n">
        <f aca="false">SUMIF($C$2:$DR$2,"製鉄曳船",C12:DR12)</f>
        <v>0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0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0</v>
      </c>
      <c r="DT13" s="40" t="n">
        <f aca="false">SUMPRODUCT((実績!$C$6:$C$505="○")*ISNUMBER(実績!$AM$6:$AM$505)*(実績!$AM$6:$AM$505&lt;=$A13)*(実績!$AN$6:$AN$505&gt;$A13))</f>
        <v>0</v>
      </c>
      <c r="DU13" s="40" t="n">
        <f aca="false">SUMIF($C$2:$DR$2,"製鉄曳船",C13:DR13)</f>
        <v>0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0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0</v>
      </c>
      <c r="DT18" s="40" t="n">
        <f aca="false">SUMPRODUCT((実績!$C$6:$C$505="○")*ISNUMBER(実績!$AM$6:$AM$505)*(実績!$AM$6:$AM$505&lt;=$A18)*(実績!$AN$6:$AN$505&gt;$A18))</f>
        <v>0</v>
      </c>
      <c r="DU18" s="40" t="n">
        <f aca="false">SUMIF($C$2:$DR$2,"製鉄曳船",C18:DR18)</f>
        <v>0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0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0</v>
      </c>
      <c r="DT19" s="40" t="n">
        <f aca="false">SUMPRODUCT((実績!$C$6:$C$505="○")*ISNUMBER(実績!$AM$6:$AM$505)*(実績!$AM$6:$AM$505&lt;=$A19)*(実績!$AN$6:$AN$505&gt;$A19))</f>
        <v>0</v>
      </c>
      <c r="DU19" s="40" t="n">
        <f aca="false">SUMIF($C$2:$DR$2,"製鉄曳船",C19:DR19)</f>
        <v>0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0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0</v>
      </c>
      <c r="DT20" s="40" t="n">
        <f aca="false">SUMPRODUCT((実績!$C$6:$C$505="○")*ISNUMBER(実績!$AM$6:$AM$505)*(実績!$AM$6:$AM$505&lt;=$A20)*(実績!$AN$6:$AN$505&gt;$A20))</f>
        <v>0</v>
      </c>
      <c r="DU20" s="40" t="n">
        <f aca="false">SUMIF($C$2:$DR$2,"製鉄曳船",C20:DR20)</f>
        <v>0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0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0</v>
      </c>
      <c r="DT21" s="40" t="n">
        <f aca="false">SUMPRODUCT((実績!$C$6:$C$505="○")*ISNUMBER(実績!$AM$6:$AM$505)*(実績!$AM$6:$AM$505&lt;=$A21)*(実績!$AN$6:$AN$505&gt;$A21))</f>
        <v>0</v>
      </c>
      <c r="DU21" s="40" t="n">
        <f aca="false">SUMIF($C$2:$DR$2,"製鉄曳船",C21:DR21)</f>
        <v>0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0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0</v>
      </c>
      <c r="DT22" s="40" t="n">
        <f aca="false">SUMPRODUCT((実績!$C$6:$C$505="○")*ISNUMBER(実績!$AM$6:$AM$505)*(実績!$AM$6:$AM$505&lt;=$A22)*(実績!$AN$6:$AN$505&gt;$A22))</f>
        <v>0</v>
      </c>
      <c r="DU22" s="40" t="n">
        <f aca="false">SUMIF($C$2:$DR$2,"製鉄曳船",C22:DR22)</f>
        <v>0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0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0</v>
      </c>
      <c r="DT23" s="40" t="n">
        <f aca="false">SUMPRODUCT((実績!$C$6:$C$505="○")*ISNUMBER(実績!$AM$6:$AM$505)*(実績!$AM$6:$AM$505&lt;=$A23)*(実績!$AN$6:$AN$505&gt;$A23))</f>
        <v>0</v>
      </c>
      <c r="DU23" s="40" t="n">
        <f aca="false">SUMIF($C$2:$DR$2,"製鉄曳船",C23:DR23)</f>
        <v>0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0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0</v>
      </c>
      <c r="DT24" s="40" t="n">
        <f aca="false">SUMPRODUCT((実績!$C$6:$C$505="○")*ISNUMBER(実績!$AM$6:$AM$505)*(実績!$AM$6:$AM$505&lt;=$A24)*(実績!$AN$6:$AN$505&gt;$A24))</f>
        <v>0</v>
      </c>
      <c r="DU24" s="40" t="n">
        <f aca="false">SUMIF($C$2:$DR$2,"製鉄曳船",C24:DR24)</f>
        <v>0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0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0</v>
      </c>
      <c r="DT25" s="40" t="n">
        <f aca="false">SUMPRODUCT((実績!$C$6:$C$505="○")*ISNUMBER(実績!$AM$6:$AM$505)*(実績!$AM$6:$AM$505&lt;=$A25)*(実績!$AN$6:$AN$505&gt;$A25))</f>
        <v>0</v>
      </c>
      <c r="DU25" s="40" t="n">
        <f aca="false">SUMIF($C$2:$DR$2,"製鉄曳船",C25:DR25)</f>
        <v>0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0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0</v>
      </c>
      <c r="DT26" s="40" t="n">
        <f aca="false">SUMPRODUCT((実績!$C$6:$C$505="○")*ISNUMBER(実績!$AM$6:$AM$505)*(実績!$AM$6:$AM$505&lt;=$A26)*(実績!$AN$6:$AN$505&gt;$A26))</f>
        <v>0</v>
      </c>
      <c r="DU26" s="40" t="n">
        <f aca="false">SUMIF($C$2:$DR$2,"製鉄曳船",C26:DR26)</f>
        <v>0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0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0</v>
      </c>
      <c r="DT27" s="40" t="n">
        <f aca="false">SUMPRODUCT((実績!$C$6:$C$505="○")*ISNUMBER(実績!$AM$6:$AM$505)*(実績!$AM$6:$AM$505&lt;=$A27)*(実績!$AN$6:$AN$505&gt;$A27))</f>
        <v>0</v>
      </c>
      <c r="DU27" s="40" t="n">
        <f aca="false">SUMIF($C$2:$DR$2,"製鉄曳船",C27:DR27)</f>
        <v>0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0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0</v>
      </c>
      <c r="DT28" s="40" t="n">
        <f aca="false">SUMPRODUCT((実績!$C$6:$C$505="○")*ISNUMBER(実績!$AM$6:$AM$505)*(実績!$AM$6:$AM$505&lt;=$A28)*(実績!$AN$6:$AN$505&gt;$A28))</f>
        <v>0</v>
      </c>
      <c r="DU28" s="40" t="n">
        <f aca="false">SUMIF($C$2:$DR$2,"製鉄曳船",C28:DR28)</f>
        <v>0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0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0</v>
      </c>
      <c r="DT29" s="40" t="n">
        <f aca="false">SUMPRODUCT((実績!$C$6:$C$505="○")*ISNUMBER(実績!$AM$6:$AM$505)*(実績!$AM$6:$AM$505&lt;=$A29)*(実績!$AN$6:$AN$505&gt;$A29))</f>
        <v>0</v>
      </c>
      <c r="DU29" s="40" t="n">
        <f aca="false">SUMIF($C$2:$DR$2,"製鉄曳船",C29:DR29)</f>
        <v>0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0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0</v>
      </c>
      <c r="DT30" s="40" t="n">
        <f aca="false">SUMPRODUCT((実績!$C$6:$C$505="○")*ISNUMBER(実績!$AM$6:$AM$505)*(実績!$AM$6:$AM$505&lt;=$A30)*(実績!$AN$6:$AN$505&gt;$A30))</f>
        <v>0</v>
      </c>
      <c r="DU30" s="40" t="n">
        <f aca="false">SUMIF($C$2:$DR$2,"製鉄曳船",C30:DR30)</f>
        <v>0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0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0</v>
      </c>
      <c r="DT31" s="40" t="n">
        <f aca="false">SUMPRODUCT((実績!$C$6:$C$505="○")*ISNUMBER(実績!$AM$6:$AM$505)*(実績!$AM$6:$AM$505&lt;=$A31)*(実績!$AN$6:$AN$505&gt;$A31))</f>
        <v>0</v>
      </c>
      <c r="DU31" s="40" t="n">
        <f aca="false">SUMIF($C$2:$DR$2,"製鉄曳船",C31:DR31)</f>
        <v>0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0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0</v>
      </c>
      <c r="DT32" s="40" t="n">
        <f aca="false">SUMPRODUCT((実績!$C$6:$C$505="○")*ISNUMBER(実績!$AM$6:$AM$505)*(実績!$AM$6:$AM$505&lt;=$A32)*(実績!$AN$6:$AN$505&gt;$A32))</f>
        <v>0</v>
      </c>
      <c r="DU32" s="40" t="n">
        <f aca="false">SUMIF($C$2:$DR$2,"製鉄曳船",C32:DR32)</f>
        <v>0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0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0</v>
      </c>
      <c r="DT33" s="40" t="n">
        <f aca="false">SUMPRODUCT((実績!$C$6:$C$505="○")*ISNUMBER(実績!$AM$6:$AM$505)*(実績!$AM$6:$AM$505&lt;=$A33)*(実績!$AN$6:$AN$505&gt;$A33))</f>
        <v>0</v>
      </c>
      <c r="DU33" s="40" t="n">
        <f aca="false">SUMIF($C$2:$DR$2,"製鉄曳船",C33:DR33)</f>
        <v>0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0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0</v>
      </c>
      <c r="DT34" s="40" t="n">
        <f aca="false">SUMPRODUCT((実績!$C$6:$C$505="○")*ISNUMBER(実績!$AM$6:$AM$505)*(実績!$AM$6:$AM$505&lt;=$A34)*(実績!$AN$6:$AN$505&gt;$A34))</f>
        <v>0</v>
      </c>
      <c r="DU34" s="40" t="n">
        <f aca="false">SUMIF($C$2:$DR$2,"製鉄曳船",C34:DR34)</f>
        <v>0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0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0</v>
      </c>
      <c r="DT35" s="40" t="n">
        <f aca="false">SUMPRODUCT((実績!$C$6:$C$505="○")*ISNUMBER(実績!$AM$6:$AM$505)*(実績!$AM$6:$AM$505&lt;=$A35)*(実績!$AN$6:$AN$505&gt;$A35))</f>
        <v>0</v>
      </c>
      <c r="DU35" s="40" t="n">
        <f aca="false">SUMIF($C$2:$DR$2,"製鉄曳船",C35:DR35)</f>
        <v>0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0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0</v>
      </c>
      <c r="DT36" s="40" t="n">
        <f aca="false">SUMPRODUCT((実績!$C$6:$C$505="○")*ISNUMBER(実績!$AM$6:$AM$505)*(実績!$AM$6:$AM$505&lt;=$A36)*(実績!$AN$6:$AN$505&gt;$A36))</f>
        <v>0</v>
      </c>
      <c r="DU36" s="40" t="n">
        <f aca="false">SUMIF($C$2:$DR$2,"製鉄曳船",C36:DR36)</f>
        <v>0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0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0</v>
      </c>
      <c r="DT37" s="40" t="n">
        <f aca="false">SUMPRODUCT((実績!$C$6:$C$505="○")*ISNUMBER(実績!$AM$6:$AM$505)*(実績!$AM$6:$AM$505&lt;=$A37)*(実績!$AN$6:$AN$505&gt;$A37))</f>
        <v>0</v>
      </c>
      <c r="DU37" s="40" t="n">
        <f aca="false">SUMIF($C$2:$DR$2,"製鉄曳船",C37:DR37)</f>
        <v>0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0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0</v>
      </c>
      <c r="DT38" s="40" t="n">
        <f aca="false">SUMPRODUCT((実績!$C$6:$C$505="○")*ISNUMBER(実績!$AM$6:$AM$505)*(実績!$AM$6:$AM$505&lt;=$A38)*(実績!$AN$6:$AN$505&gt;$A38))</f>
        <v>0</v>
      </c>
      <c r="DU38" s="40" t="n">
        <f aca="false">SUMIF($C$2:$DR$2,"製鉄曳船",C38:DR38)</f>
        <v>0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0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0</v>
      </c>
      <c r="DT39" s="40" t="n">
        <f aca="false">SUMPRODUCT((実績!$C$6:$C$505="○")*ISNUMBER(実績!$AM$6:$AM$505)*(実績!$AM$6:$AM$505&lt;=$A39)*(実績!$AN$6:$AN$505&gt;$A39))</f>
        <v>0</v>
      </c>
      <c r="DU39" s="40" t="n">
        <f aca="false">SUMIF($C$2:$DR$2,"製鉄曳船",C39:DR39)</f>
        <v>0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0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0</v>
      </c>
      <c r="DT40" s="40" t="n">
        <f aca="false">SUMPRODUCT((実績!$C$6:$C$505="○")*ISNUMBER(実績!$AM$6:$AM$505)*(実績!$AM$6:$AM$505&lt;=$A40)*(実績!$AN$6:$AN$505&gt;$A40))</f>
        <v>0</v>
      </c>
      <c r="DU40" s="40" t="n">
        <f aca="false">SUMIF($C$2:$DR$2,"製鉄曳船",C40:DR40)</f>
        <v>0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0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0</v>
      </c>
      <c r="DT41" s="40" t="n">
        <f aca="false">SUMPRODUCT((実績!$C$6:$C$505="○")*ISNUMBER(実績!$AM$6:$AM$505)*(実績!$AM$6:$AM$505&lt;=$A41)*(実績!$AN$6:$AN$505&gt;$A41))</f>
        <v>0</v>
      </c>
      <c r="DU41" s="40" t="n">
        <f aca="false">SUMIF($C$2:$DR$2,"製鉄曳船",C41:DR41)</f>
        <v>0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0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0</v>
      </c>
      <c r="DT54" s="40" t="n">
        <f aca="false">SUMPRODUCT((実績!$C$6:$C$505="○")*ISNUMBER(実績!$AM$6:$AM$505)*(実績!$AM$6:$AM$505&lt;=$A54)*(実績!$AN$6:$AN$505&gt;$A54))</f>
        <v>0</v>
      </c>
      <c r="DU54" s="40" t="n">
        <f aca="false">SUMIF($C$2:$DR$2,"製鉄曳船",C54:DR54)</f>
        <v>0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0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0</v>
      </c>
      <c r="DT55" s="40" t="n">
        <f aca="false">SUMPRODUCT((実績!$C$6:$C$505="○")*ISNUMBER(実績!$AM$6:$AM$505)*(実績!$AM$6:$AM$505&lt;=$A55)*(実績!$AN$6:$AN$505&gt;$A55))</f>
        <v>0</v>
      </c>
      <c r="DU55" s="40" t="n">
        <f aca="false">SUMIF($C$2:$DR$2,"製鉄曳船",C55:DR55)</f>
        <v>0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0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0</v>
      </c>
      <c r="DT56" s="40" t="n">
        <f aca="false">SUMPRODUCT((実績!$C$6:$C$505="○")*ISNUMBER(実績!$AM$6:$AM$505)*(実績!$AM$6:$AM$505&lt;=$A56)*(実績!$AN$6:$AN$505&gt;$A56))</f>
        <v>0</v>
      </c>
      <c r="DU56" s="40" t="n">
        <f aca="false">SUMIF($C$2:$DR$2,"製鉄曳船",C56:DR56)</f>
        <v>0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0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0</v>
      </c>
      <c r="DT57" s="40" t="n">
        <f aca="false">SUMPRODUCT((実績!$C$6:$C$505="○")*ISNUMBER(実績!$AM$6:$AM$505)*(実績!$AM$6:$AM$505&lt;=$A57)*(実績!$AN$6:$AN$505&gt;$A57))</f>
        <v>0</v>
      </c>
      <c r="DU57" s="40" t="n">
        <f aca="false">SUMIF($C$2:$DR$2,"製鉄曳船",C57:DR57)</f>
        <v>0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0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0</v>
      </c>
      <c r="DT58" s="40" t="n">
        <f aca="false">SUMPRODUCT((実績!$C$6:$C$505="○")*ISNUMBER(実績!$AM$6:$AM$505)*(実績!$AM$6:$AM$505&lt;=$A58)*(実績!$AN$6:$AN$505&gt;$A58))</f>
        <v>0</v>
      </c>
      <c r="DU58" s="40" t="n">
        <f aca="false">SUMIF($C$2:$DR$2,"製鉄曳船",C58:DR58)</f>
        <v>0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0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0</v>
      </c>
      <c r="DT59" s="40" t="n">
        <f aca="false">SUMPRODUCT((実績!$C$6:$C$505="○")*ISNUMBER(実績!$AM$6:$AM$505)*(実績!$AM$6:$AM$505&lt;=$A59)*(実績!$AN$6:$AN$505&gt;$A59))</f>
        <v>0</v>
      </c>
      <c r="DU59" s="40" t="n">
        <f aca="false">SUMIF($C$2:$DR$2,"製鉄曳船",C59:DR59)</f>
        <v>0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0</v>
      </c>
      <c r="I102" s="40" t="n">
        <f aca="false">IF(I$4=0,0,IF(COUNTIFS(実績!$W$6:$W$505,I$3,実績!$AI$6:$AI$505,"&lt;="&amp;$A102,実績!$AJ$6:$AJ$505,"&gt;"&amp;$A102,実績!$AK$6:$AK$505,"○")&gt;0,1,0))</f>
        <v>0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0</v>
      </c>
      <c r="DT102" s="40" t="n">
        <f aca="false">SUMPRODUCT((実績!$C$6:$C$505="○")*ISNUMBER(実績!$AM$6:$AM$505)*(実績!$AM$6:$AM$505&lt;=$A102)*(実績!$AN$6:$AN$505&gt;$A102))</f>
        <v>0</v>
      </c>
      <c r="DU102" s="40" t="n">
        <f aca="false">SUMIF($C$2:$DR$2,"製鉄曳船",C102:DR102)</f>
        <v>0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0</v>
      </c>
      <c r="I103" s="40" t="n">
        <f aca="false">IF(I$4=0,0,IF(COUNTIFS(実績!$W$6:$W$505,I$3,実績!$AI$6:$AI$505,"&lt;="&amp;$A103,実績!$AJ$6:$AJ$505,"&gt;"&amp;$A103,実績!$AK$6:$AK$505,"○")&gt;0,1,0))</f>
        <v>0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0</v>
      </c>
      <c r="DT103" s="40" t="n">
        <f aca="false">SUMPRODUCT((実績!$C$6:$C$505="○")*ISNUMBER(実績!$AM$6:$AM$505)*(実績!$AM$6:$AM$505&lt;=$A103)*(実績!$AN$6:$AN$505&gt;$A103))</f>
        <v>0</v>
      </c>
      <c r="DU103" s="40" t="n">
        <f aca="false">SUMIF($C$2:$DR$2,"製鉄曳船",C103:DR103)</f>
        <v>0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0</v>
      </c>
      <c r="I104" s="40" t="n">
        <f aca="false">IF(I$4=0,0,IF(COUNTIFS(実績!$W$6:$W$505,I$3,実績!$AI$6:$AI$505,"&lt;="&amp;$A104,実績!$AJ$6:$AJ$505,"&gt;"&amp;$A104,実績!$AK$6:$AK$505,"○")&gt;0,1,0))</f>
        <v>0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0</v>
      </c>
      <c r="DT104" s="40" t="n">
        <f aca="false">SUMPRODUCT((実績!$C$6:$C$505="○")*ISNUMBER(実績!$AM$6:$AM$505)*(実績!$AM$6:$AM$505&lt;=$A104)*(実績!$AN$6:$AN$505&gt;$A104))</f>
        <v>0</v>
      </c>
      <c r="DU104" s="40" t="n">
        <f aca="false">SUMIF($C$2:$DR$2,"製鉄曳船",C104:DR104)</f>
        <v>0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0</v>
      </c>
      <c r="I105" s="40" t="n">
        <f aca="false">IF(I$4=0,0,IF(COUNTIFS(実績!$W$6:$W$505,I$3,実績!$AI$6:$AI$505,"&lt;="&amp;$A105,実績!$AJ$6:$AJ$505,"&gt;"&amp;$A105,実績!$AK$6:$AK$505,"○")&gt;0,1,0))</f>
        <v>0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0</v>
      </c>
      <c r="DT105" s="40" t="n">
        <f aca="false">SUMPRODUCT((実績!$C$6:$C$505="○")*ISNUMBER(実績!$AM$6:$AM$505)*(実績!$AM$6:$AM$505&lt;=$A105)*(実績!$AN$6:$AN$505&gt;$A105))</f>
        <v>0</v>
      </c>
      <c r="DU105" s="40" t="n">
        <f aca="false">SUMIF($C$2:$DR$2,"製鉄曳船",C105:DR105)</f>
        <v>0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0</v>
      </c>
      <c r="I106" s="40" t="n">
        <f aca="false">IF(I$4=0,0,IF(COUNTIFS(実績!$W$6:$W$505,I$3,実績!$AI$6:$AI$505,"&lt;="&amp;$A106,実績!$AJ$6:$AJ$505,"&gt;"&amp;$A106,実績!$AK$6:$AK$505,"○")&gt;0,1,0))</f>
        <v>0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0</v>
      </c>
      <c r="DT106" s="40" t="n">
        <f aca="false">SUMPRODUCT((実績!$C$6:$C$505="○")*ISNUMBER(実績!$AM$6:$AM$505)*(実績!$AM$6:$AM$505&lt;=$A106)*(実績!$AN$6:$AN$505&gt;$A106))</f>
        <v>0</v>
      </c>
      <c r="DU106" s="40" t="n">
        <f aca="false">SUMIF($C$2:$DR$2,"製鉄曳船",C106:DR106)</f>
        <v>0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0</v>
      </c>
      <c r="I107" s="40" t="n">
        <f aca="false">IF(I$4=0,0,IF(COUNTIFS(実績!$W$6:$W$505,I$3,実績!$AI$6:$AI$505,"&lt;="&amp;$A107,実績!$AJ$6:$AJ$505,"&gt;"&amp;$A107,実績!$AK$6:$AK$505,"○")&gt;0,1,0))</f>
        <v>0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0</v>
      </c>
      <c r="DT107" s="40" t="n">
        <f aca="false">SUMPRODUCT((実績!$C$6:$C$505="○")*ISNUMBER(実績!$AM$6:$AM$505)*(実績!$AM$6:$AM$505&lt;=$A107)*(実績!$AN$6:$AN$505&gt;$A107))</f>
        <v>0</v>
      </c>
      <c r="DU107" s="40" t="n">
        <f aca="false">SUMIF($C$2:$DR$2,"製鉄曳船",C107:DR107)</f>
        <v>0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0</v>
      </c>
      <c r="I108" s="40" t="n">
        <f aca="false">IF(I$4=0,0,IF(COUNTIFS(実績!$W$6:$W$505,I$3,実績!$AI$6:$AI$505,"&lt;="&amp;$A108,実績!$AJ$6:$AJ$505,"&gt;"&amp;$A108,実績!$AK$6:$AK$505,"○")&gt;0,1,0))</f>
        <v>0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0</v>
      </c>
      <c r="DT108" s="40" t="n">
        <f aca="false">SUMPRODUCT((実績!$C$6:$C$505="○")*ISNUMBER(実績!$AM$6:$AM$505)*(実績!$AM$6:$AM$505&lt;=$A108)*(実績!$AN$6:$AN$505&gt;$A108))</f>
        <v>0</v>
      </c>
      <c r="DU108" s="40" t="n">
        <f aca="false">SUMIF($C$2:$DR$2,"製鉄曳船",C108:DR108)</f>
        <v>0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0</v>
      </c>
      <c r="I109" s="40" t="n">
        <f aca="false">IF(I$4=0,0,IF(COUNTIFS(実績!$W$6:$W$505,I$3,実績!$AI$6:$AI$505,"&lt;="&amp;$A109,実績!$AJ$6:$AJ$505,"&gt;"&amp;$A109,実績!$AK$6:$AK$505,"○")&gt;0,1,0))</f>
        <v>0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0</v>
      </c>
      <c r="DT109" s="40" t="n">
        <f aca="false">SUMPRODUCT((実績!$C$6:$C$505="○")*ISNUMBER(実績!$AM$6:$AM$505)*(実績!$AM$6:$AM$505&lt;=$A109)*(実績!$AN$6:$AN$505&gt;$A109))</f>
        <v>0</v>
      </c>
      <c r="DU109" s="40" t="n">
        <f aca="false">SUMIF($C$2:$DR$2,"製鉄曳船",C109:DR109)</f>
        <v>0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0</v>
      </c>
      <c r="I110" s="40" t="n">
        <f aca="false">IF(I$4=0,0,IF(COUNTIFS(実績!$W$6:$W$505,I$3,実績!$AI$6:$AI$505,"&lt;="&amp;$A110,実績!$AJ$6:$AJ$505,"&gt;"&amp;$A110,実績!$AK$6:$AK$505,"○")&gt;0,1,0))</f>
        <v>0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0</v>
      </c>
      <c r="DT110" s="40" t="n">
        <f aca="false">SUMPRODUCT((実績!$C$6:$C$505="○")*ISNUMBER(実績!$AM$6:$AM$505)*(実績!$AM$6:$AM$505&lt;=$A110)*(実績!$AN$6:$AN$505&gt;$A110))</f>
        <v>0</v>
      </c>
      <c r="DU110" s="40" t="n">
        <f aca="false">SUMIF($C$2:$DR$2,"製鉄曳船",C110:DR110)</f>
        <v>0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0</v>
      </c>
      <c r="I111" s="40" t="n">
        <f aca="false">IF(I$4=0,0,IF(COUNTIFS(実績!$W$6:$W$505,I$3,実績!$AI$6:$AI$505,"&lt;="&amp;$A111,実績!$AJ$6:$AJ$505,"&gt;"&amp;$A111,実績!$AK$6:$AK$505,"○")&gt;0,1,0))</f>
        <v>0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0</v>
      </c>
      <c r="DT111" s="40" t="n">
        <f aca="false">SUMPRODUCT((実績!$C$6:$C$505="○")*ISNUMBER(実績!$AM$6:$AM$505)*(実績!$AM$6:$AM$505&lt;=$A111)*(実績!$AN$6:$AN$505&gt;$A111))</f>
        <v>0</v>
      </c>
      <c r="DU111" s="40" t="n">
        <f aca="false">SUMIF($C$2:$DR$2,"製鉄曳船",C111:DR111)</f>
        <v>0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0</v>
      </c>
      <c r="I112" s="40" t="n">
        <f aca="false">IF(I$4=0,0,IF(COUNTIFS(実績!$W$6:$W$505,I$3,実績!$AI$6:$AI$505,"&lt;="&amp;$A112,実績!$AJ$6:$AJ$505,"&gt;"&amp;$A112,実績!$AK$6:$AK$505,"○")&gt;0,1,0))</f>
        <v>0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0</v>
      </c>
      <c r="DT112" s="40" t="n">
        <f aca="false">SUMPRODUCT((実績!$C$6:$C$505="○")*ISNUMBER(実績!$AM$6:$AM$505)*(実績!$AM$6:$AM$505&lt;=$A112)*(実績!$AN$6:$AN$505&gt;$A112))</f>
        <v>0</v>
      </c>
      <c r="DU112" s="40" t="n">
        <f aca="false">SUMIF($C$2:$DR$2,"製鉄曳船",C112:DR112)</f>
        <v>0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0</v>
      </c>
      <c r="I113" s="40" t="n">
        <f aca="false">IF(I$4=0,0,IF(COUNTIFS(実績!$W$6:$W$505,I$3,実績!$AI$6:$AI$505,"&lt;="&amp;$A113,実績!$AJ$6:$AJ$505,"&gt;"&amp;$A113,実績!$AK$6:$AK$505,"○")&gt;0,1,0))</f>
        <v>0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0</v>
      </c>
      <c r="DT113" s="40" t="n">
        <f aca="false">SUMPRODUCT((実績!$C$6:$C$505="○")*ISNUMBER(実績!$AM$6:$AM$505)*(実績!$AM$6:$AM$505&lt;=$A113)*(実績!$AN$6:$AN$505&gt;$A113))</f>
        <v>0</v>
      </c>
      <c r="DU113" s="40" t="n">
        <f aca="false">SUMIF($C$2:$DR$2,"製鉄曳船",C113:DR113)</f>
        <v>0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0</v>
      </c>
      <c r="I114" s="40" t="n">
        <f aca="false">IF(I$4=0,0,IF(COUNTIFS(実績!$W$6:$W$505,I$3,実績!$AI$6:$AI$505,"&lt;="&amp;$A114,実績!$AJ$6:$AJ$505,"&gt;"&amp;$A114,実績!$AK$6:$AK$505,"○")&gt;0,1,0))</f>
        <v>0</v>
      </c>
      <c r="J114" s="40" t="n">
        <f aca="false">IF(J$4=0,0,IF(COUNTIFS(実績!$W$6:$W$505,J$3,実績!$AI$6:$AI$505,"&lt;="&amp;$A114,実績!$AJ$6:$AJ$505,"&gt;"&amp;$A114,実績!$AK$6:$AK$505,"○")&gt;0,1,0))</f>
        <v>0</v>
      </c>
      <c r="K114" s="40" t="n">
        <f aca="false">IF(K$4=0,0,IF(COUNTIFS(実績!$W$6:$W$505,K$3,実績!$AI$6:$AI$505,"&lt;="&amp;$A114,実績!$AJ$6:$AJ$505,"&gt;"&amp;$A114,実績!$AK$6:$AK$505,"○")&gt;0,1,0))</f>
        <v>0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1</v>
      </c>
      <c r="AL114" s="40" t="n">
        <f aca="false">IF(AL$4=0,0,IF(COUNTIFS(実績!$W$6:$W$505,AL$3,実績!$AI$6:$AI$505,"&lt;="&amp;$A114,実績!$AJ$6:$AJ$505,"&gt;"&amp;$A114,実績!$AK$6:$AK$505,"○")&gt;0,1,0))</f>
        <v>1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2</v>
      </c>
      <c r="DT114" s="40" t="n">
        <f aca="false">SUMPRODUCT((実績!$C$6:$C$505="○")*ISNUMBER(実績!$AM$6:$AM$505)*(実績!$AM$6:$AM$505&lt;=$A114)*(実績!$AN$6:$AN$505&gt;$A114))</f>
        <v>2</v>
      </c>
      <c r="DU114" s="40" t="n">
        <f aca="false">SUMIF($C$2:$DR$2,"製鉄曳船",C114:DR114)</f>
        <v>0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0</v>
      </c>
      <c r="I115" s="40" t="n">
        <f aca="false">IF(I$4=0,0,IF(COUNTIFS(実績!$W$6:$W$505,I$3,実績!$AI$6:$AI$505,"&lt;="&amp;$A115,実績!$AJ$6:$AJ$505,"&gt;"&amp;$A115,実績!$AK$6:$AK$505,"○")&gt;0,1,0))</f>
        <v>0</v>
      </c>
      <c r="J115" s="40" t="n">
        <f aca="false">IF(J$4=0,0,IF(COUNTIFS(実績!$W$6:$W$505,J$3,実績!$AI$6:$AI$505,"&lt;="&amp;$A115,実績!$AJ$6:$AJ$505,"&gt;"&amp;$A115,実績!$AK$6:$AK$505,"○")&gt;0,1,0))</f>
        <v>0</v>
      </c>
      <c r="K115" s="40" t="n">
        <f aca="false">IF(K$4=0,0,IF(COUNTIFS(実績!$W$6:$W$505,K$3,実績!$AI$6:$AI$505,"&lt;="&amp;$A115,実績!$AJ$6:$AJ$505,"&gt;"&amp;$A115,実績!$AK$6:$AK$505,"○")&gt;0,1,0))</f>
        <v>0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1</v>
      </c>
      <c r="AL115" s="40" t="n">
        <f aca="false">IF(AL$4=0,0,IF(COUNTIFS(実績!$W$6:$W$505,AL$3,実績!$AI$6:$AI$505,"&lt;="&amp;$A115,実績!$AJ$6:$AJ$505,"&gt;"&amp;$A115,実績!$AK$6:$AK$505,"○")&gt;0,1,0))</f>
        <v>1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2</v>
      </c>
      <c r="DT115" s="40" t="n">
        <f aca="false">SUMPRODUCT((実績!$C$6:$C$505="○")*ISNUMBER(実績!$AM$6:$AM$505)*(実績!$AM$6:$AM$505&lt;=$A115)*(実績!$AN$6:$AN$505&gt;$A115))</f>
        <v>2</v>
      </c>
      <c r="DU115" s="40" t="n">
        <f aca="false">SUMIF($C$2:$DR$2,"製鉄曳船",C115:DR115)</f>
        <v>0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0</v>
      </c>
      <c r="I116" s="40" t="n">
        <f aca="false">IF(I$4=0,0,IF(COUNTIFS(実績!$W$6:$W$505,I$3,実績!$AI$6:$AI$505,"&lt;="&amp;$A116,実績!$AJ$6:$AJ$505,"&gt;"&amp;$A116,実績!$AK$6:$AK$505,"○")&gt;0,1,0))</f>
        <v>0</v>
      </c>
      <c r="J116" s="40" t="n">
        <f aca="false">IF(J$4=0,0,IF(COUNTIFS(実績!$W$6:$W$505,J$3,実績!$AI$6:$AI$505,"&lt;="&amp;$A116,実績!$AJ$6:$AJ$505,"&gt;"&amp;$A116,実績!$AK$6:$AK$505,"○")&gt;0,1,0))</f>
        <v>0</v>
      </c>
      <c r="K116" s="40" t="n">
        <f aca="false">IF(K$4=0,0,IF(COUNTIFS(実績!$W$6:$W$505,K$3,実績!$AI$6:$AI$505,"&lt;="&amp;$A116,実績!$AJ$6:$AJ$505,"&gt;"&amp;$A116,実績!$AK$6:$AK$505,"○")&gt;0,1,0))</f>
        <v>0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1</v>
      </c>
      <c r="AL116" s="40" t="n">
        <f aca="false">IF(AL$4=0,0,IF(COUNTIFS(実績!$W$6:$W$505,AL$3,実績!$AI$6:$AI$505,"&lt;="&amp;$A116,実績!$AJ$6:$AJ$505,"&gt;"&amp;$A116,実績!$AK$6:$AK$505,"○")&gt;0,1,0))</f>
        <v>1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2</v>
      </c>
      <c r="DT116" s="40" t="n">
        <f aca="false">SUMPRODUCT((実績!$C$6:$C$505="○")*ISNUMBER(実績!$AM$6:$AM$505)*(実績!$AM$6:$AM$505&lt;=$A116)*(実績!$AN$6:$AN$505&gt;$A116))</f>
        <v>2</v>
      </c>
      <c r="DU116" s="40" t="n">
        <f aca="false">SUMIF($C$2:$DR$2,"製鉄曳船",C116:DR116)</f>
        <v>0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0</v>
      </c>
      <c r="I117" s="40" t="n">
        <f aca="false">IF(I$4=0,0,IF(COUNTIFS(実績!$W$6:$W$505,I$3,実績!$AI$6:$AI$505,"&lt;="&amp;$A117,実績!$AJ$6:$AJ$505,"&gt;"&amp;$A117,実績!$AK$6:$AK$505,"○")&gt;0,1,0))</f>
        <v>0</v>
      </c>
      <c r="J117" s="40" t="n">
        <f aca="false">IF(J$4=0,0,IF(COUNTIFS(実績!$W$6:$W$505,J$3,実績!$AI$6:$AI$505,"&lt;="&amp;$A117,実績!$AJ$6:$AJ$505,"&gt;"&amp;$A117,実績!$AK$6:$AK$505,"○")&gt;0,1,0))</f>
        <v>0</v>
      </c>
      <c r="K117" s="40" t="n">
        <f aca="false">IF(K$4=0,0,IF(COUNTIFS(実績!$W$6:$W$505,K$3,実績!$AI$6:$AI$505,"&lt;="&amp;$A117,実績!$AJ$6:$AJ$505,"&gt;"&amp;$A117,実績!$AK$6:$AK$505,"○")&gt;0,1,0))</f>
        <v>0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1</v>
      </c>
      <c r="AL117" s="40" t="n">
        <f aca="false">IF(AL$4=0,0,IF(COUNTIFS(実績!$W$6:$W$505,AL$3,実績!$AI$6:$AI$505,"&lt;="&amp;$A117,実績!$AJ$6:$AJ$505,"&gt;"&amp;$A117,実績!$AK$6:$AK$505,"○")&gt;0,1,0))</f>
        <v>1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2</v>
      </c>
      <c r="DT117" s="40" t="n">
        <f aca="false">SUMPRODUCT((実績!$C$6:$C$505="○")*ISNUMBER(実績!$AM$6:$AM$505)*(実績!$AM$6:$AM$505&lt;=$A117)*(実績!$AN$6:$AN$505&gt;$A117))</f>
        <v>2</v>
      </c>
      <c r="DU117" s="40" t="n">
        <f aca="false">SUMIF($C$2:$DR$2,"製鉄曳船",C117:DR117)</f>
        <v>0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0</v>
      </c>
      <c r="I118" s="40" t="n">
        <f aca="false">IF(I$4=0,0,IF(COUNTIFS(実績!$W$6:$W$505,I$3,実績!$AI$6:$AI$505,"&lt;="&amp;$A118,実績!$AJ$6:$AJ$505,"&gt;"&amp;$A118,実績!$AK$6:$AK$505,"○")&gt;0,1,0))</f>
        <v>0</v>
      </c>
      <c r="J118" s="40" t="n">
        <f aca="false">IF(J$4=0,0,IF(COUNTIFS(実績!$W$6:$W$505,J$3,実績!$AI$6:$AI$505,"&lt;="&amp;$A118,実績!$AJ$6:$AJ$505,"&gt;"&amp;$A118,実績!$AK$6:$AK$505,"○")&gt;0,1,0))</f>
        <v>0</v>
      </c>
      <c r="K118" s="40" t="n">
        <f aca="false">IF(K$4=0,0,IF(COUNTIFS(実績!$W$6:$W$505,K$3,実績!$AI$6:$AI$505,"&lt;="&amp;$A118,実績!$AJ$6:$AJ$505,"&gt;"&amp;$A118,実績!$AK$6:$AK$505,"○")&gt;0,1,0))</f>
        <v>0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1</v>
      </c>
      <c r="AL118" s="40" t="n">
        <f aca="false">IF(AL$4=0,0,IF(COUNTIFS(実績!$W$6:$W$505,AL$3,実績!$AI$6:$AI$505,"&lt;="&amp;$A118,実績!$AJ$6:$AJ$505,"&gt;"&amp;$A118,実績!$AK$6:$AK$505,"○")&gt;0,1,0))</f>
        <v>1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2</v>
      </c>
      <c r="DT118" s="40" t="n">
        <f aca="false">SUMPRODUCT((実績!$C$6:$C$505="○")*ISNUMBER(実績!$AM$6:$AM$505)*(実績!$AM$6:$AM$505&lt;=$A118)*(実績!$AN$6:$AN$505&gt;$A118))</f>
        <v>2</v>
      </c>
      <c r="DU118" s="40" t="n">
        <f aca="false">SUMIF($C$2:$DR$2,"製鉄曳船",C118:DR118)</f>
        <v>0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0</v>
      </c>
      <c r="I119" s="40" t="n">
        <f aca="false">IF(I$4=0,0,IF(COUNTIFS(実績!$W$6:$W$505,I$3,実績!$AI$6:$AI$505,"&lt;="&amp;$A119,実績!$AJ$6:$AJ$505,"&gt;"&amp;$A119,実績!$AK$6:$AK$505,"○")&gt;0,1,0))</f>
        <v>0</v>
      </c>
      <c r="J119" s="40" t="n">
        <f aca="false">IF(J$4=0,0,IF(COUNTIFS(実績!$W$6:$W$505,J$3,実績!$AI$6:$AI$505,"&lt;="&amp;$A119,実績!$AJ$6:$AJ$505,"&gt;"&amp;$A119,実績!$AK$6:$AK$505,"○")&gt;0,1,0))</f>
        <v>0</v>
      </c>
      <c r="K119" s="40" t="n">
        <f aca="false">IF(K$4=0,0,IF(COUNTIFS(実績!$W$6:$W$505,K$3,実績!$AI$6:$AI$505,"&lt;="&amp;$A119,実績!$AJ$6:$AJ$505,"&gt;"&amp;$A119,実績!$AK$6:$AK$505,"○")&gt;0,1,0))</f>
        <v>0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1</v>
      </c>
      <c r="AL119" s="40" t="n">
        <f aca="false">IF(AL$4=0,0,IF(COUNTIFS(実績!$W$6:$W$505,AL$3,実績!$AI$6:$AI$505,"&lt;="&amp;$A119,実績!$AJ$6:$AJ$505,"&gt;"&amp;$A119,実績!$AK$6:$AK$505,"○")&gt;0,1,0))</f>
        <v>1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2</v>
      </c>
      <c r="DT119" s="40" t="n">
        <f aca="false">SUMPRODUCT((実績!$C$6:$C$505="○")*ISNUMBER(実績!$AM$6:$AM$505)*(実績!$AM$6:$AM$505&lt;=$A119)*(実績!$AN$6:$AN$505&gt;$A119))</f>
        <v>2</v>
      </c>
      <c r="DU119" s="40" t="n">
        <f aca="false">SUMIF($C$2:$DR$2,"製鉄曳船",C119:DR119)</f>
        <v>0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0</v>
      </c>
      <c r="I120" s="40" t="n">
        <f aca="false">IF(I$4=0,0,IF(COUNTIFS(実績!$W$6:$W$505,I$3,実績!$AI$6:$AI$505,"&lt;="&amp;$A120,実績!$AJ$6:$AJ$505,"&gt;"&amp;$A120,実績!$AK$6:$AK$505,"○")&gt;0,1,0))</f>
        <v>0</v>
      </c>
      <c r="J120" s="40" t="n">
        <f aca="false">IF(J$4=0,0,IF(COUNTIFS(実績!$W$6:$W$505,J$3,実績!$AI$6:$AI$505,"&lt;="&amp;$A120,実績!$AJ$6:$AJ$505,"&gt;"&amp;$A120,実績!$AK$6:$AK$505,"○")&gt;0,1,0))</f>
        <v>0</v>
      </c>
      <c r="K120" s="40" t="n">
        <f aca="false">IF(K$4=0,0,IF(COUNTIFS(実績!$W$6:$W$505,K$3,実績!$AI$6:$AI$505,"&lt;="&amp;$A120,実績!$AJ$6:$AJ$505,"&gt;"&amp;$A120,実績!$AK$6:$AK$505,"○")&gt;0,1,0))</f>
        <v>0</v>
      </c>
      <c r="L120" s="40" t="n">
        <f aca="false">IF(L$4=0,0,IF(COUNTIFS(実績!$W$6:$W$505,L$3,実績!$AI$6:$AI$505,"&lt;="&amp;$A120,実績!$AJ$6:$AJ$505,"&gt;"&amp;$A120,実績!$AK$6:$AK$505,"○")&gt;0,1,0))</f>
        <v>0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0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1</v>
      </c>
      <c r="AL120" s="40" t="n">
        <f aca="false">IF(AL$4=0,0,IF(COUNTIFS(実績!$W$6:$W$505,AL$3,実績!$AI$6:$AI$505,"&lt;="&amp;$A120,実績!$AJ$6:$AJ$505,"&gt;"&amp;$A120,実績!$AK$6:$AK$505,"○")&gt;0,1,0))</f>
        <v>1</v>
      </c>
      <c r="AM120" s="40" t="n">
        <f aca="false">IF(AM$4=0,0,IF(COUNTIFS(実績!$W$6:$W$505,AM$3,実績!$AI$6:$AI$505,"&lt;="&amp;$A120,実績!$AJ$6:$AJ$505,"&gt;"&amp;$A120,実績!$AK$6:$AK$505,"○")&gt;0,1,0))</f>
        <v>1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3</v>
      </c>
      <c r="DT120" s="40" t="n">
        <f aca="false">SUMPRODUCT((実績!$C$6:$C$505="○")*ISNUMBER(実績!$AM$6:$AM$505)*(実績!$AM$6:$AM$505&lt;=$A120)*(実績!$AN$6:$AN$505&gt;$A120))</f>
        <v>3</v>
      </c>
      <c r="DU120" s="40" t="n">
        <f aca="false">SUMIF($C$2:$DR$2,"製鉄曳船",C120:DR120)</f>
        <v>0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0</v>
      </c>
      <c r="I121" s="40" t="n">
        <f aca="false">IF(I$4=0,0,IF(COUNTIFS(実績!$W$6:$W$505,I$3,実績!$AI$6:$AI$505,"&lt;="&amp;$A121,実績!$AJ$6:$AJ$505,"&gt;"&amp;$A121,実績!$AK$6:$AK$505,"○")&gt;0,1,0))</f>
        <v>0</v>
      </c>
      <c r="J121" s="40" t="n">
        <f aca="false">IF(J$4=0,0,IF(COUNTIFS(実績!$W$6:$W$505,J$3,実績!$AI$6:$AI$505,"&lt;="&amp;$A121,実績!$AJ$6:$AJ$505,"&gt;"&amp;$A121,実績!$AK$6:$AK$505,"○")&gt;0,1,0))</f>
        <v>0</v>
      </c>
      <c r="K121" s="40" t="n">
        <f aca="false">IF(K$4=0,0,IF(COUNTIFS(実績!$W$6:$W$505,K$3,実績!$AI$6:$AI$505,"&lt;="&amp;$A121,実績!$AJ$6:$AJ$505,"&gt;"&amp;$A121,実績!$AK$6:$AK$505,"○")&gt;0,1,0))</f>
        <v>0</v>
      </c>
      <c r="L121" s="40" t="n">
        <f aca="false">IF(L$4=0,0,IF(COUNTIFS(実績!$W$6:$W$505,L$3,実績!$AI$6:$AI$505,"&lt;="&amp;$A121,実績!$AJ$6:$AJ$505,"&gt;"&amp;$A121,実績!$AK$6:$AK$505,"○")&gt;0,1,0))</f>
        <v>0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0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1</v>
      </c>
      <c r="AL121" s="40" t="n">
        <f aca="false">IF(AL$4=0,0,IF(COUNTIFS(実績!$W$6:$W$505,AL$3,実績!$AI$6:$AI$505,"&lt;="&amp;$A121,実績!$AJ$6:$AJ$505,"&gt;"&amp;$A121,実績!$AK$6:$AK$505,"○")&gt;0,1,0))</f>
        <v>1</v>
      </c>
      <c r="AM121" s="40" t="n">
        <f aca="false">IF(AM$4=0,0,IF(COUNTIFS(実績!$W$6:$W$505,AM$3,実績!$AI$6:$AI$505,"&lt;="&amp;$A121,実績!$AJ$6:$AJ$505,"&gt;"&amp;$A121,実績!$AK$6:$AK$505,"○")&gt;0,1,0))</f>
        <v>1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3</v>
      </c>
      <c r="DT121" s="40" t="n">
        <f aca="false">SUMPRODUCT((実績!$C$6:$C$505="○")*ISNUMBER(実績!$AM$6:$AM$505)*(実績!$AM$6:$AM$505&lt;=$A121)*(実績!$AN$6:$AN$505&gt;$A121))</f>
        <v>3</v>
      </c>
      <c r="DU121" s="40" t="n">
        <f aca="false">SUMIF($C$2:$DR$2,"製鉄曳船",C121:DR121)</f>
        <v>0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0</v>
      </c>
      <c r="I122" s="40" t="n">
        <f aca="false">IF(I$4=0,0,IF(COUNTIFS(実績!$W$6:$W$505,I$3,実績!$AI$6:$AI$505,"&lt;="&amp;$A122,実績!$AJ$6:$AJ$505,"&gt;"&amp;$A122,実績!$AK$6:$AK$505,"○")&gt;0,1,0))</f>
        <v>0</v>
      </c>
      <c r="J122" s="40" t="n">
        <f aca="false">IF(J$4=0,0,IF(COUNTIFS(実績!$W$6:$W$505,J$3,実績!$AI$6:$AI$505,"&lt;="&amp;$A122,実績!$AJ$6:$AJ$505,"&gt;"&amp;$A122,実績!$AK$6:$AK$505,"○")&gt;0,1,0))</f>
        <v>0</v>
      </c>
      <c r="K122" s="40" t="n">
        <f aca="false">IF(K$4=0,0,IF(COUNTIFS(実績!$W$6:$W$505,K$3,実績!$AI$6:$AI$505,"&lt;="&amp;$A122,実績!$AJ$6:$AJ$505,"&gt;"&amp;$A122,実績!$AK$6:$AK$505,"○")&gt;0,1,0))</f>
        <v>0</v>
      </c>
      <c r="L122" s="40" t="n">
        <f aca="false">IF(L$4=0,0,IF(COUNTIFS(実績!$W$6:$W$505,L$3,実績!$AI$6:$AI$505,"&lt;="&amp;$A122,実績!$AJ$6:$AJ$505,"&gt;"&amp;$A122,実績!$AK$6:$AK$505,"○")&gt;0,1,0))</f>
        <v>0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0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1</v>
      </c>
      <c r="AL122" s="40" t="n">
        <f aca="false">IF(AL$4=0,0,IF(COUNTIFS(実績!$W$6:$W$505,AL$3,実績!$AI$6:$AI$505,"&lt;="&amp;$A122,実績!$AJ$6:$AJ$505,"&gt;"&amp;$A122,実績!$AK$6:$AK$505,"○")&gt;0,1,0))</f>
        <v>1</v>
      </c>
      <c r="AM122" s="40" t="n">
        <f aca="false">IF(AM$4=0,0,IF(COUNTIFS(実績!$W$6:$W$505,AM$3,実績!$AI$6:$AI$505,"&lt;="&amp;$A122,実績!$AJ$6:$AJ$505,"&gt;"&amp;$A122,実績!$AK$6:$AK$505,"○")&gt;0,1,0))</f>
        <v>1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3</v>
      </c>
      <c r="DT122" s="40" t="n">
        <f aca="false">SUMPRODUCT((実績!$C$6:$C$505="○")*ISNUMBER(実績!$AM$6:$AM$505)*(実績!$AM$6:$AM$505&lt;=$A122)*(実績!$AN$6:$AN$505&gt;$A122))</f>
        <v>3</v>
      </c>
      <c r="DU122" s="40" t="n">
        <f aca="false">SUMIF($C$2:$DR$2,"製鉄曳船",C122:DR122)</f>
        <v>0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0</v>
      </c>
      <c r="I123" s="40" t="n">
        <f aca="false">IF(I$4=0,0,IF(COUNTIFS(実績!$W$6:$W$505,I$3,実績!$AI$6:$AI$505,"&lt;="&amp;$A123,実績!$AJ$6:$AJ$505,"&gt;"&amp;$A123,実績!$AK$6:$AK$505,"○")&gt;0,1,0))</f>
        <v>0</v>
      </c>
      <c r="J123" s="40" t="n">
        <f aca="false">IF(J$4=0,0,IF(COUNTIFS(実績!$W$6:$W$505,J$3,実績!$AI$6:$AI$505,"&lt;="&amp;$A123,実績!$AJ$6:$AJ$505,"&gt;"&amp;$A123,実績!$AK$6:$AK$505,"○")&gt;0,1,0))</f>
        <v>0</v>
      </c>
      <c r="K123" s="40" t="n">
        <f aca="false">IF(K$4=0,0,IF(COUNTIFS(実績!$W$6:$W$505,K$3,実績!$AI$6:$AI$505,"&lt;="&amp;$A123,実績!$AJ$6:$AJ$505,"&gt;"&amp;$A123,実績!$AK$6:$AK$505,"○")&gt;0,1,0))</f>
        <v>0</v>
      </c>
      <c r="L123" s="40" t="n">
        <f aca="false">IF(L$4=0,0,IF(COUNTIFS(実績!$W$6:$W$505,L$3,実績!$AI$6:$AI$505,"&lt;="&amp;$A123,実績!$AJ$6:$AJ$505,"&gt;"&amp;$A123,実績!$AK$6:$AK$505,"○")&gt;0,1,0))</f>
        <v>0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0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0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1</v>
      </c>
      <c r="AL123" s="40" t="n">
        <f aca="false">IF(AL$4=0,0,IF(COUNTIFS(実績!$W$6:$W$505,AL$3,実績!$AI$6:$AI$505,"&lt;="&amp;$A123,実績!$AJ$6:$AJ$505,"&gt;"&amp;$A123,実績!$AK$6:$AK$505,"○")&gt;0,1,0))</f>
        <v>1</v>
      </c>
      <c r="AM123" s="40" t="n">
        <f aca="false">IF(AM$4=0,0,IF(COUNTIFS(実績!$W$6:$W$505,AM$3,実績!$AI$6:$AI$505,"&lt;="&amp;$A123,実績!$AJ$6:$AJ$505,"&gt;"&amp;$A123,実績!$AK$6:$AK$505,"○")&gt;0,1,0))</f>
        <v>1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3</v>
      </c>
      <c r="DT123" s="40" t="n">
        <f aca="false">SUMPRODUCT((実績!$C$6:$C$505="○")*ISNUMBER(実績!$AM$6:$AM$505)*(実績!$AM$6:$AM$505&lt;=$A123)*(実績!$AN$6:$AN$505&gt;$A123))</f>
        <v>3</v>
      </c>
      <c r="DU123" s="40" t="n">
        <f aca="false">SUMIF($C$2:$DR$2,"製鉄曳船",C123:DR123)</f>
        <v>0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0</v>
      </c>
      <c r="I124" s="40" t="n">
        <f aca="false">IF(I$4=0,0,IF(COUNTIFS(実績!$W$6:$W$505,I$3,実績!$AI$6:$AI$505,"&lt;="&amp;$A124,実績!$AJ$6:$AJ$505,"&gt;"&amp;$A124,実績!$AK$6:$AK$505,"○")&gt;0,1,0))</f>
        <v>0</v>
      </c>
      <c r="J124" s="40" t="n">
        <f aca="false">IF(J$4=0,0,IF(COUNTIFS(実績!$W$6:$W$505,J$3,実績!$AI$6:$AI$505,"&lt;="&amp;$A124,実績!$AJ$6:$AJ$505,"&gt;"&amp;$A124,実績!$AK$6:$AK$505,"○")&gt;0,1,0))</f>
        <v>0</v>
      </c>
      <c r="K124" s="40" t="n">
        <f aca="false">IF(K$4=0,0,IF(COUNTIFS(実績!$W$6:$W$505,K$3,実績!$AI$6:$AI$505,"&lt;="&amp;$A124,実績!$AJ$6:$AJ$505,"&gt;"&amp;$A124,実績!$AK$6:$AK$505,"○")&gt;0,1,0))</f>
        <v>0</v>
      </c>
      <c r="L124" s="40" t="n">
        <f aca="false">IF(L$4=0,0,IF(COUNTIFS(実績!$W$6:$W$505,L$3,実績!$AI$6:$AI$505,"&lt;="&amp;$A124,実績!$AJ$6:$AJ$505,"&gt;"&amp;$A124,実績!$AK$6:$AK$505,"○")&gt;0,1,0))</f>
        <v>0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0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0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1</v>
      </c>
      <c r="AL124" s="40" t="n">
        <f aca="false">IF(AL$4=0,0,IF(COUNTIFS(実績!$W$6:$W$505,AL$3,実績!$AI$6:$AI$505,"&lt;="&amp;$A124,実績!$AJ$6:$AJ$505,"&gt;"&amp;$A124,実績!$AK$6:$AK$505,"○")&gt;0,1,0))</f>
        <v>1</v>
      </c>
      <c r="AM124" s="40" t="n">
        <f aca="false">IF(AM$4=0,0,IF(COUNTIFS(実績!$W$6:$W$505,AM$3,実績!$AI$6:$AI$505,"&lt;="&amp;$A124,実績!$AJ$6:$AJ$505,"&gt;"&amp;$A124,実績!$AK$6:$AK$505,"○")&gt;0,1,0))</f>
        <v>1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3</v>
      </c>
      <c r="DT124" s="40" t="n">
        <f aca="false">SUMPRODUCT((実績!$C$6:$C$505="○")*ISNUMBER(実績!$AM$6:$AM$505)*(実績!$AM$6:$AM$505&lt;=$A124)*(実績!$AN$6:$AN$505&gt;$A124))</f>
        <v>3</v>
      </c>
      <c r="DU124" s="40" t="n">
        <f aca="false">SUMIF($C$2:$DR$2,"製鉄曳船",C124:DR124)</f>
        <v>0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0</v>
      </c>
      <c r="I125" s="40" t="n">
        <f aca="false">IF(I$4=0,0,IF(COUNTIFS(実績!$W$6:$W$505,I$3,実績!$AI$6:$AI$505,"&lt;="&amp;$A125,実績!$AJ$6:$AJ$505,"&gt;"&amp;$A125,実績!$AK$6:$AK$505,"○")&gt;0,1,0))</f>
        <v>0</v>
      </c>
      <c r="J125" s="40" t="n">
        <f aca="false">IF(J$4=0,0,IF(COUNTIFS(実績!$W$6:$W$505,J$3,実績!$AI$6:$AI$505,"&lt;="&amp;$A125,実績!$AJ$6:$AJ$505,"&gt;"&amp;$A125,実績!$AK$6:$AK$505,"○")&gt;0,1,0))</f>
        <v>0</v>
      </c>
      <c r="K125" s="40" t="n">
        <f aca="false">IF(K$4=0,0,IF(COUNTIFS(実績!$W$6:$W$505,K$3,実績!$AI$6:$AI$505,"&lt;="&amp;$A125,実績!$AJ$6:$AJ$505,"&gt;"&amp;$A125,実績!$AK$6:$AK$505,"○")&gt;0,1,0))</f>
        <v>0</v>
      </c>
      <c r="L125" s="40" t="n">
        <f aca="false">IF(L$4=0,0,IF(COUNTIFS(実績!$W$6:$W$505,L$3,実績!$AI$6:$AI$505,"&lt;="&amp;$A125,実績!$AJ$6:$AJ$505,"&gt;"&amp;$A125,実績!$AK$6:$AK$505,"○")&gt;0,1,0))</f>
        <v>0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0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0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1</v>
      </c>
      <c r="AL125" s="40" t="n">
        <f aca="false">IF(AL$4=0,0,IF(COUNTIFS(実績!$W$6:$W$505,AL$3,実績!$AI$6:$AI$505,"&lt;="&amp;$A125,実績!$AJ$6:$AJ$505,"&gt;"&amp;$A125,実績!$AK$6:$AK$505,"○")&gt;0,1,0))</f>
        <v>1</v>
      </c>
      <c r="AM125" s="40" t="n">
        <f aca="false">IF(AM$4=0,0,IF(COUNTIFS(実績!$W$6:$W$505,AM$3,実績!$AI$6:$AI$505,"&lt;="&amp;$A125,実績!$AJ$6:$AJ$505,"&gt;"&amp;$A125,実績!$AK$6:$AK$505,"○")&gt;0,1,0))</f>
        <v>1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3</v>
      </c>
      <c r="DT125" s="40" t="n">
        <f aca="false">SUMPRODUCT((実績!$C$6:$C$505="○")*ISNUMBER(実績!$AM$6:$AM$505)*(実績!$AM$6:$AM$505&lt;=$A125)*(実績!$AN$6:$AN$505&gt;$A125))</f>
        <v>3</v>
      </c>
      <c r="DU125" s="40" t="n">
        <f aca="false">SUMIF($C$2:$DR$2,"製鉄曳船",C125:DR125)</f>
        <v>0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0</v>
      </c>
      <c r="I126" s="40" t="n">
        <f aca="false">IF(I$4=0,0,IF(COUNTIFS(実績!$W$6:$W$505,I$3,実績!$AI$6:$AI$505,"&lt;="&amp;$A126,実績!$AJ$6:$AJ$505,"&gt;"&amp;$A126,実績!$AK$6:$AK$505,"○")&gt;0,1,0))</f>
        <v>0</v>
      </c>
      <c r="J126" s="40" t="n">
        <f aca="false">IF(J$4=0,0,IF(COUNTIFS(実績!$W$6:$W$505,J$3,実績!$AI$6:$AI$505,"&lt;="&amp;$A126,実績!$AJ$6:$AJ$505,"&gt;"&amp;$A126,実績!$AK$6:$AK$505,"○")&gt;0,1,0))</f>
        <v>0</v>
      </c>
      <c r="K126" s="40" t="n">
        <f aca="false">IF(K$4=0,0,IF(COUNTIFS(実績!$W$6:$W$505,K$3,実績!$AI$6:$AI$505,"&lt;="&amp;$A126,実績!$AJ$6:$AJ$505,"&gt;"&amp;$A126,実績!$AK$6:$AK$505,"○")&gt;0,1,0))</f>
        <v>0</v>
      </c>
      <c r="L126" s="40" t="n">
        <f aca="false">IF(L$4=0,0,IF(COUNTIFS(実績!$W$6:$W$505,L$3,実績!$AI$6:$AI$505,"&lt;="&amp;$A126,実績!$AJ$6:$AJ$505,"&gt;"&amp;$A126,実績!$AK$6:$AK$505,"○")&gt;0,1,0))</f>
        <v>0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0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0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1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1</v>
      </c>
      <c r="DT126" s="40" t="n">
        <f aca="false">SUMPRODUCT((実績!$C$6:$C$505="○")*ISNUMBER(実績!$AM$6:$AM$505)*(実績!$AM$6:$AM$505&lt;=$A126)*(実績!$AN$6:$AN$505&gt;$A126))</f>
        <v>1</v>
      </c>
      <c r="DU126" s="40" t="n">
        <f aca="false">SUMIF($C$2:$DR$2,"製鉄曳船",C126:DR126)</f>
        <v>0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0</v>
      </c>
      <c r="I127" s="40" t="n">
        <f aca="false">IF(I$4=0,0,IF(COUNTIFS(実績!$W$6:$W$505,I$3,実績!$AI$6:$AI$505,"&lt;="&amp;$A127,実績!$AJ$6:$AJ$505,"&gt;"&amp;$A127,実績!$AK$6:$AK$505,"○")&gt;0,1,0))</f>
        <v>0</v>
      </c>
      <c r="J127" s="40" t="n">
        <f aca="false">IF(J$4=0,0,IF(COUNTIFS(実績!$W$6:$W$505,J$3,実績!$AI$6:$AI$505,"&lt;="&amp;$A127,実績!$AJ$6:$AJ$505,"&gt;"&amp;$A127,実績!$AK$6:$AK$505,"○")&gt;0,1,0))</f>
        <v>0</v>
      </c>
      <c r="K127" s="40" t="n">
        <f aca="false">IF(K$4=0,0,IF(COUNTIFS(実績!$W$6:$W$505,K$3,実績!$AI$6:$AI$505,"&lt;="&amp;$A127,実績!$AJ$6:$AJ$505,"&gt;"&amp;$A127,実績!$AK$6:$AK$505,"○")&gt;0,1,0))</f>
        <v>0</v>
      </c>
      <c r="L127" s="40" t="n">
        <f aca="false">IF(L$4=0,0,IF(COUNTIFS(実績!$W$6:$W$505,L$3,実績!$AI$6:$AI$505,"&lt;="&amp;$A127,実績!$AJ$6:$AJ$505,"&gt;"&amp;$A127,実績!$AK$6:$AK$505,"○")&gt;0,1,0))</f>
        <v>0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0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0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1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1</v>
      </c>
      <c r="DT127" s="40" t="n">
        <f aca="false">SUMPRODUCT((実績!$C$6:$C$505="○")*ISNUMBER(実績!$AM$6:$AM$505)*(実績!$AM$6:$AM$505&lt;=$A127)*(実績!$AN$6:$AN$505&gt;$A127))</f>
        <v>1</v>
      </c>
      <c r="DU127" s="40" t="n">
        <f aca="false">SUMIF($C$2:$DR$2,"製鉄曳船",C127:DR127)</f>
        <v>0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0</v>
      </c>
      <c r="I128" s="40" t="n">
        <f aca="false">IF(I$4=0,0,IF(COUNTIFS(実績!$W$6:$W$505,I$3,実績!$AI$6:$AI$505,"&lt;="&amp;$A128,実績!$AJ$6:$AJ$505,"&gt;"&amp;$A128,実績!$AK$6:$AK$505,"○")&gt;0,1,0))</f>
        <v>0</v>
      </c>
      <c r="J128" s="40" t="n">
        <f aca="false">IF(J$4=0,0,IF(COUNTIFS(実績!$W$6:$W$505,J$3,実績!$AI$6:$AI$505,"&lt;="&amp;$A128,実績!$AJ$6:$AJ$505,"&gt;"&amp;$A128,実績!$AK$6:$AK$505,"○")&gt;0,1,0))</f>
        <v>0</v>
      </c>
      <c r="K128" s="40" t="n">
        <f aca="false">IF(K$4=0,0,IF(COUNTIFS(実績!$W$6:$W$505,K$3,実績!$AI$6:$AI$505,"&lt;="&amp;$A128,実績!$AJ$6:$AJ$505,"&gt;"&amp;$A128,実績!$AK$6:$AK$505,"○")&gt;0,1,0))</f>
        <v>0</v>
      </c>
      <c r="L128" s="40" t="n">
        <f aca="false">IF(L$4=0,0,IF(COUNTIFS(実績!$W$6:$W$505,L$3,実績!$AI$6:$AI$505,"&lt;="&amp;$A128,実績!$AJ$6:$AJ$505,"&gt;"&amp;$A128,実績!$AK$6:$AK$505,"○")&gt;0,1,0))</f>
        <v>0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0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0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1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1</v>
      </c>
      <c r="DT128" s="40" t="n">
        <f aca="false">SUMPRODUCT((実績!$C$6:$C$505="○")*ISNUMBER(実績!$AM$6:$AM$505)*(実績!$AM$6:$AM$505&lt;=$A128)*(実績!$AN$6:$AN$505&gt;$A128))</f>
        <v>1</v>
      </c>
      <c r="DU128" s="40" t="n">
        <f aca="false">SUMIF($C$2:$DR$2,"製鉄曳船",C128:DR128)</f>
        <v>0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0</v>
      </c>
      <c r="I129" s="40" t="n">
        <f aca="false">IF(I$4=0,0,IF(COUNTIFS(実績!$W$6:$W$505,I$3,実績!$AI$6:$AI$505,"&lt;="&amp;$A129,実績!$AJ$6:$AJ$505,"&gt;"&amp;$A129,実績!$AK$6:$AK$505,"○")&gt;0,1,0))</f>
        <v>0</v>
      </c>
      <c r="J129" s="40" t="n">
        <f aca="false">IF(J$4=0,0,IF(COUNTIFS(実績!$W$6:$W$505,J$3,実績!$AI$6:$AI$505,"&lt;="&amp;$A129,実績!$AJ$6:$AJ$505,"&gt;"&amp;$A129,実績!$AK$6:$AK$505,"○")&gt;0,1,0))</f>
        <v>0</v>
      </c>
      <c r="K129" s="40" t="n">
        <f aca="false">IF(K$4=0,0,IF(COUNTIFS(実績!$W$6:$W$505,K$3,実績!$AI$6:$AI$505,"&lt;="&amp;$A129,実績!$AJ$6:$AJ$505,"&gt;"&amp;$A129,実績!$AK$6:$AK$505,"○")&gt;0,1,0))</f>
        <v>0</v>
      </c>
      <c r="L129" s="40" t="n">
        <f aca="false">IF(L$4=0,0,IF(COUNTIFS(実績!$W$6:$W$505,L$3,実績!$AI$6:$AI$505,"&lt;="&amp;$A129,実績!$AJ$6:$AJ$505,"&gt;"&amp;$A129,実績!$AK$6:$AK$505,"○")&gt;0,1,0))</f>
        <v>0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0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0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1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1</v>
      </c>
      <c r="DT129" s="40" t="n">
        <f aca="false">SUMPRODUCT((実績!$C$6:$C$505="○")*ISNUMBER(実績!$AM$6:$AM$505)*(実績!$AM$6:$AM$505&lt;=$A129)*(実績!$AN$6:$AN$505&gt;$A129))</f>
        <v>1</v>
      </c>
      <c r="DU129" s="40" t="n">
        <f aca="false">SUMIF($C$2:$DR$2,"製鉄曳船",C129:DR129)</f>
        <v>0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0</v>
      </c>
      <c r="I130" s="40" t="n">
        <f aca="false">IF(I$4=0,0,IF(COUNTIFS(実績!$W$6:$W$505,I$3,実績!$AI$6:$AI$505,"&lt;="&amp;$A130,実績!$AJ$6:$AJ$505,"&gt;"&amp;$A130,実績!$AK$6:$AK$505,"○")&gt;0,1,0))</f>
        <v>0</v>
      </c>
      <c r="J130" s="40" t="n">
        <f aca="false">IF(J$4=0,0,IF(COUNTIFS(実績!$W$6:$W$505,J$3,実績!$AI$6:$AI$505,"&lt;="&amp;$A130,実績!$AJ$6:$AJ$505,"&gt;"&amp;$A130,実績!$AK$6:$AK$505,"○")&gt;0,1,0))</f>
        <v>0</v>
      </c>
      <c r="K130" s="40" t="n">
        <f aca="false">IF(K$4=0,0,IF(COUNTIFS(実績!$W$6:$W$505,K$3,実績!$AI$6:$AI$505,"&lt;="&amp;$A130,実績!$AJ$6:$AJ$505,"&gt;"&amp;$A130,実績!$AK$6:$AK$505,"○")&gt;0,1,0))</f>
        <v>0</v>
      </c>
      <c r="L130" s="40" t="n">
        <f aca="false">IF(L$4=0,0,IF(COUNTIFS(実績!$W$6:$W$505,L$3,実績!$AI$6:$AI$505,"&lt;="&amp;$A130,実績!$AJ$6:$AJ$505,"&gt;"&amp;$A130,実績!$AK$6:$AK$505,"○")&gt;0,1,0))</f>
        <v>0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0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0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1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1</v>
      </c>
      <c r="DT130" s="40" t="n">
        <f aca="false">SUMPRODUCT((実績!$C$6:$C$505="○")*ISNUMBER(実績!$AM$6:$AM$505)*(実績!$AM$6:$AM$505&lt;=$A130)*(実績!$AN$6:$AN$505&gt;$A130))</f>
        <v>1</v>
      </c>
      <c r="DU130" s="40" t="n">
        <f aca="false">SUMIF($C$2:$DR$2,"製鉄曳船",C130:DR130)</f>
        <v>0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0</v>
      </c>
      <c r="I131" s="40" t="n">
        <f aca="false">IF(I$4=0,0,IF(COUNTIFS(実績!$W$6:$W$505,I$3,実績!$AI$6:$AI$505,"&lt;="&amp;$A131,実績!$AJ$6:$AJ$505,"&gt;"&amp;$A131,実績!$AK$6:$AK$505,"○")&gt;0,1,0))</f>
        <v>0</v>
      </c>
      <c r="J131" s="40" t="n">
        <f aca="false">IF(J$4=0,0,IF(COUNTIFS(実績!$W$6:$W$505,J$3,実績!$AI$6:$AI$505,"&lt;="&amp;$A131,実績!$AJ$6:$AJ$505,"&gt;"&amp;$A131,実績!$AK$6:$AK$505,"○")&gt;0,1,0))</f>
        <v>0</v>
      </c>
      <c r="K131" s="40" t="n">
        <f aca="false">IF(K$4=0,0,IF(COUNTIFS(実績!$W$6:$W$505,K$3,実績!$AI$6:$AI$505,"&lt;="&amp;$A131,実績!$AJ$6:$AJ$505,"&gt;"&amp;$A131,実績!$AK$6:$AK$505,"○")&gt;0,1,0))</f>
        <v>0</v>
      </c>
      <c r="L131" s="40" t="n">
        <f aca="false">IF(L$4=0,0,IF(COUNTIFS(実績!$W$6:$W$505,L$3,実績!$AI$6:$AI$505,"&lt;="&amp;$A131,実績!$AJ$6:$AJ$505,"&gt;"&amp;$A131,実績!$AK$6:$AK$505,"○")&gt;0,1,0))</f>
        <v>0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0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0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1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1</v>
      </c>
      <c r="DT131" s="40" t="n">
        <f aca="false">SUMPRODUCT((実績!$C$6:$C$505="○")*ISNUMBER(実績!$AM$6:$AM$505)*(実績!$AM$6:$AM$505&lt;=$A131)*(実績!$AN$6:$AN$505&gt;$A131))</f>
        <v>1</v>
      </c>
      <c r="DU131" s="40" t="n">
        <f aca="false">SUMIF($C$2:$DR$2,"製鉄曳船",C131:DR131)</f>
        <v>0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0</v>
      </c>
      <c r="I132" s="40" t="n">
        <f aca="false">IF(I$4=0,0,IF(COUNTIFS(実績!$W$6:$W$505,I$3,実績!$AI$6:$AI$505,"&lt;="&amp;$A132,実績!$AJ$6:$AJ$505,"&gt;"&amp;$A132,実績!$AK$6:$AK$505,"○")&gt;0,1,0))</f>
        <v>0</v>
      </c>
      <c r="J132" s="40" t="n">
        <f aca="false">IF(J$4=0,0,IF(COUNTIFS(実績!$W$6:$W$505,J$3,実績!$AI$6:$AI$505,"&lt;="&amp;$A132,実績!$AJ$6:$AJ$505,"&gt;"&amp;$A132,実績!$AK$6:$AK$505,"○")&gt;0,1,0))</f>
        <v>0</v>
      </c>
      <c r="K132" s="40" t="n">
        <f aca="false">IF(K$4=0,0,IF(COUNTIFS(実績!$W$6:$W$505,K$3,実績!$AI$6:$AI$505,"&lt;="&amp;$A132,実績!$AJ$6:$AJ$505,"&gt;"&amp;$A132,実績!$AK$6:$AK$505,"○")&gt;0,1,0))</f>
        <v>0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0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0</v>
      </c>
      <c r="DT132" s="40" t="n">
        <f aca="false">SUMPRODUCT((実績!$C$6:$C$505="○")*ISNUMBER(実績!$AM$6:$AM$505)*(実績!$AM$6:$AM$505&lt;=$A132)*(実績!$AN$6:$AN$505&gt;$A132))</f>
        <v>0</v>
      </c>
      <c r="DU132" s="40" t="n">
        <f aca="false">SUMIF($C$2:$DR$2,"製鉄曳船",C132:DR132)</f>
        <v>0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0</v>
      </c>
      <c r="I133" s="40" t="n">
        <f aca="false">IF(I$4=0,0,IF(COUNTIFS(実績!$W$6:$W$505,I$3,実績!$AI$6:$AI$505,"&lt;="&amp;$A133,実績!$AJ$6:$AJ$505,"&gt;"&amp;$A133,実績!$AK$6:$AK$505,"○")&gt;0,1,0))</f>
        <v>0</v>
      </c>
      <c r="J133" s="40" t="n">
        <f aca="false">IF(J$4=0,0,IF(COUNTIFS(実績!$W$6:$W$505,J$3,実績!$AI$6:$AI$505,"&lt;="&amp;$A133,実績!$AJ$6:$AJ$505,"&gt;"&amp;$A133,実績!$AK$6:$AK$505,"○")&gt;0,1,0))</f>
        <v>0</v>
      </c>
      <c r="K133" s="40" t="n">
        <f aca="false">IF(K$4=0,0,IF(COUNTIFS(実績!$W$6:$W$505,K$3,実績!$AI$6:$AI$505,"&lt;="&amp;$A133,実績!$AJ$6:$AJ$505,"&gt;"&amp;$A133,実績!$AK$6:$AK$505,"○")&gt;0,1,0))</f>
        <v>0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0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0</v>
      </c>
      <c r="DT133" s="40" t="n">
        <f aca="false">SUMPRODUCT((実績!$C$6:$C$505="○")*ISNUMBER(実績!$AM$6:$AM$505)*(実績!$AM$6:$AM$505&lt;=$A133)*(実績!$AN$6:$AN$505&gt;$A133))</f>
        <v>0</v>
      </c>
      <c r="DU133" s="40" t="n">
        <f aca="false">SUMIF($C$2:$DR$2,"製鉄曳船",C133:DR133)</f>
        <v>0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0</v>
      </c>
      <c r="I134" s="40" t="n">
        <f aca="false">IF(I$4=0,0,IF(COUNTIFS(実績!$W$6:$W$505,I$3,実績!$AI$6:$AI$505,"&lt;="&amp;$A134,実績!$AJ$6:$AJ$505,"&gt;"&amp;$A134,実績!$AK$6:$AK$505,"○")&gt;0,1,0))</f>
        <v>0</v>
      </c>
      <c r="J134" s="40" t="n">
        <f aca="false">IF(J$4=0,0,IF(COUNTIFS(実績!$W$6:$W$505,J$3,実績!$AI$6:$AI$505,"&lt;="&amp;$A134,実績!$AJ$6:$AJ$505,"&gt;"&amp;$A134,実績!$AK$6:$AK$505,"○")&gt;0,1,0))</f>
        <v>0</v>
      </c>
      <c r="K134" s="40" t="n">
        <f aca="false">IF(K$4=0,0,IF(COUNTIFS(実績!$W$6:$W$505,K$3,実績!$AI$6:$AI$505,"&lt;="&amp;$A134,実績!$AJ$6:$AJ$505,"&gt;"&amp;$A134,実績!$AK$6:$AK$505,"○")&gt;0,1,0))</f>
        <v>0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0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0</v>
      </c>
      <c r="DT134" s="40" t="n">
        <f aca="false">SUMPRODUCT((実績!$C$6:$C$505="○")*ISNUMBER(実績!$AM$6:$AM$505)*(実績!$AM$6:$AM$505&lt;=$A134)*(実績!$AN$6:$AN$505&gt;$A134))</f>
        <v>0</v>
      </c>
      <c r="DU134" s="40" t="n">
        <f aca="false">SUMIF($C$2:$DR$2,"製鉄曳船",C134:DR134)</f>
        <v>0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0</v>
      </c>
      <c r="I135" s="40" t="n">
        <f aca="false">IF(I$4=0,0,IF(COUNTIFS(実績!$W$6:$W$505,I$3,実績!$AI$6:$AI$505,"&lt;="&amp;$A135,実績!$AJ$6:$AJ$505,"&gt;"&amp;$A135,実績!$AK$6:$AK$505,"○")&gt;0,1,0))</f>
        <v>0</v>
      </c>
      <c r="J135" s="40" t="n">
        <f aca="false">IF(J$4=0,0,IF(COUNTIFS(実績!$W$6:$W$505,J$3,実績!$AI$6:$AI$505,"&lt;="&amp;$A135,実績!$AJ$6:$AJ$505,"&gt;"&amp;$A135,実績!$AK$6:$AK$505,"○")&gt;0,1,0))</f>
        <v>0</v>
      </c>
      <c r="K135" s="40" t="n">
        <f aca="false">IF(K$4=0,0,IF(COUNTIFS(実績!$W$6:$W$505,K$3,実績!$AI$6:$AI$505,"&lt;="&amp;$A135,実績!$AJ$6:$AJ$505,"&gt;"&amp;$A135,実績!$AK$6:$AK$505,"○")&gt;0,1,0))</f>
        <v>0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0</v>
      </c>
      <c r="DT135" s="40" t="n">
        <f aca="false">SUMPRODUCT((実績!$C$6:$C$505="○")*ISNUMBER(実績!$AM$6:$AM$505)*(実績!$AM$6:$AM$505&lt;=$A135)*(実績!$AN$6:$AN$505&gt;$A135))</f>
        <v>0</v>
      </c>
      <c r="DU135" s="40" t="n">
        <f aca="false">SUMIF($C$2:$DR$2,"製鉄曳船",C135:DR135)</f>
        <v>0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0</v>
      </c>
      <c r="I136" s="40" t="n">
        <f aca="false">IF(I$4=0,0,IF(COUNTIFS(実績!$W$6:$W$505,I$3,実績!$AI$6:$AI$505,"&lt;="&amp;$A136,実績!$AJ$6:$AJ$505,"&gt;"&amp;$A136,実績!$AK$6:$AK$505,"○")&gt;0,1,0))</f>
        <v>0</v>
      </c>
      <c r="J136" s="40" t="n">
        <f aca="false">IF(J$4=0,0,IF(COUNTIFS(実績!$W$6:$W$505,J$3,実績!$AI$6:$AI$505,"&lt;="&amp;$A136,実績!$AJ$6:$AJ$505,"&gt;"&amp;$A136,実績!$AK$6:$AK$505,"○")&gt;0,1,0))</f>
        <v>0</v>
      </c>
      <c r="K136" s="40" t="n">
        <f aca="false">IF(K$4=0,0,IF(COUNTIFS(実績!$W$6:$W$505,K$3,実績!$AI$6:$AI$505,"&lt;="&amp;$A136,実績!$AJ$6:$AJ$505,"&gt;"&amp;$A136,実績!$AK$6:$AK$505,"○")&gt;0,1,0))</f>
        <v>0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0</v>
      </c>
      <c r="DT136" s="40" t="n">
        <f aca="false">SUMPRODUCT((実績!$C$6:$C$505="○")*ISNUMBER(実績!$AM$6:$AM$505)*(実績!$AM$6:$AM$505&lt;=$A136)*(実績!$AN$6:$AN$505&gt;$A136))</f>
        <v>0</v>
      </c>
      <c r="DU136" s="40" t="n">
        <f aca="false">SUMIF($C$2:$DR$2,"製鉄曳船",C136:DR136)</f>
        <v>0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0</v>
      </c>
      <c r="I137" s="40" t="n">
        <f aca="false">IF(I$4=0,0,IF(COUNTIFS(実績!$W$6:$W$505,I$3,実績!$AI$6:$AI$505,"&lt;="&amp;$A137,実績!$AJ$6:$AJ$505,"&gt;"&amp;$A137,実績!$AK$6:$AK$505,"○")&gt;0,1,0))</f>
        <v>0</v>
      </c>
      <c r="J137" s="40" t="n">
        <f aca="false">IF(J$4=0,0,IF(COUNTIFS(実績!$W$6:$W$505,J$3,実績!$AI$6:$AI$505,"&lt;="&amp;$A137,実績!$AJ$6:$AJ$505,"&gt;"&amp;$A137,実績!$AK$6:$AK$505,"○")&gt;0,1,0))</f>
        <v>0</v>
      </c>
      <c r="K137" s="40" t="n">
        <f aca="false">IF(K$4=0,0,IF(COUNTIFS(実績!$W$6:$W$505,K$3,実績!$AI$6:$AI$505,"&lt;="&amp;$A137,実績!$AJ$6:$AJ$505,"&gt;"&amp;$A137,実績!$AK$6:$AK$505,"○")&gt;0,1,0))</f>
        <v>0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0</v>
      </c>
      <c r="DT137" s="40" t="n">
        <f aca="false">SUMPRODUCT((実績!$C$6:$C$505="○")*ISNUMBER(実績!$AM$6:$AM$505)*(実績!$AM$6:$AM$505&lt;=$A137)*(実績!$AN$6:$AN$505&gt;$A137))</f>
        <v>0</v>
      </c>
      <c r="DU137" s="40" t="n">
        <f aca="false">SUMIF($C$2:$DR$2,"製鉄曳船",C137:DR137)</f>
        <v>0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0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0</v>
      </c>
      <c r="DT162" s="40" t="n">
        <f aca="false">SUMPRODUCT((実績!$C$6:$C$505="○")*ISNUMBER(実績!$AM$6:$AM$505)*(実績!$AM$6:$AM$505&lt;=$A162)*(実績!$AN$6:$AN$505&gt;$A162))</f>
        <v>0</v>
      </c>
      <c r="DU162" s="40" t="n">
        <f aca="false">SUMIF($C$2:$DR$2,"製鉄曳船",C162:DR162)</f>
        <v>0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0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0</v>
      </c>
      <c r="DT163" s="40" t="n">
        <f aca="false">SUMPRODUCT((実績!$C$6:$C$505="○")*ISNUMBER(実績!$AM$6:$AM$505)*(実績!$AM$6:$AM$505&lt;=$A163)*(実績!$AN$6:$AN$505&gt;$A163))</f>
        <v>0</v>
      </c>
      <c r="DU163" s="40" t="n">
        <f aca="false">SUMIF($C$2:$DR$2,"製鉄曳船",C163:DR163)</f>
        <v>0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0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0</v>
      </c>
      <c r="DT164" s="40" t="n">
        <f aca="false">SUMPRODUCT((実績!$C$6:$C$505="○")*ISNUMBER(実績!$AM$6:$AM$505)*(実績!$AM$6:$AM$505&lt;=$A164)*(実績!$AN$6:$AN$505&gt;$A164))</f>
        <v>0</v>
      </c>
      <c r="DU164" s="40" t="n">
        <f aca="false">SUMIF($C$2:$DR$2,"製鉄曳船",C164:DR164)</f>
        <v>0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0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0</v>
      </c>
      <c r="DT165" s="40" t="n">
        <f aca="false">SUMPRODUCT((実績!$C$6:$C$505="○")*ISNUMBER(実績!$AM$6:$AM$505)*(実績!$AM$6:$AM$505&lt;=$A165)*(実績!$AN$6:$AN$505&gt;$A165))</f>
        <v>0</v>
      </c>
      <c r="DU165" s="40" t="n">
        <f aca="false">SUMIF($C$2:$DR$2,"製鉄曳船",C165:DR165)</f>
        <v>0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0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0</v>
      </c>
      <c r="DT166" s="40" t="n">
        <f aca="false">SUMPRODUCT((実績!$C$6:$C$505="○")*ISNUMBER(実績!$AM$6:$AM$505)*(実績!$AM$6:$AM$505&lt;=$A166)*(実績!$AN$6:$AN$505&gt;$A166))</f>
        <v>0</v>
      </c>
      <c r="DU166" s="40" t="n">
        <f aca="false">SUMIF($C$2:$DR$2,"製鉄曳船",C166:DR166)</f>
        <v>0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0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0</v>
      </c>
      <c r="DT167" s="40" t="n">
        <f aca="false">SUMPRODUCT((実績!$C$6:$C$505="○")*ISNUMBER(実績!$AM$6:$AM$505)*(実績!$AM$6:$AM$505&lt;=$A167)*(実績!$AN$6:$AN$505&gt;$A167))</f>
        <v>0</v>
      </c>
      <c r="DU167" s="40" t="n">
        <f aca="false">SUMIF($C$2:$DR$2,"製鉄曳船",C167:DR167)</f>
        <v>0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0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0</v>
      </c>
      <c r="DT168" s="40" t="n">
        <f aca="false">SUMPRODUCT((実績!$C$6:$C$505="○")*ISNUMBER(実績!$AM$6:$AM$505)*(実績!$AM$6:$AM$505&lt;=$A168)*(実績!$AN$6:$AN$505&gt;$A168))</f>
        <v>0</v>
      </c>
      <c r="DU168" s="40" t="n">
        <f aca="false">SUMIF($C$2:$DR$2,"製鉄曳船",C168:DR168)</f>
        <v>0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0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0</v>
      </c>
      <c r="DT169" s="40" t="n">
        <f aca="false">SUMPRODUCT((実績!$C$6:$C$505="○")*ISNUMBER(実績!$AM$6:$AM$505)*(実績!$AM$6:$AM$505&lt;=$A169)*(実績!$AN$6:$AN$505&gt;$A169))</f>
        <v>0</v>
      </c>
      <c r="DU169" s="40" t="n">
        <f aca="false">SUMIF($C$2:$DR$2,"製鉄曳船",C169:DR169)</f>
        <v>0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0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0</v>
      </c>
      <c r="DT170" s="40" t="n">
        <f aca="false">SUMPRODUCT((実績!$C$6:$C$505="○")*ISNUMBER(実績!$AM$6:$AM$505)*(実績!$AM$6:$AM$505&lt;=$A170)*(実績!$AN$6:$AN$505&gt;$A170))</f>
        <v>0</v>
      </c>
      <c r="DU170" s="40" t="n">
        <f aca="false">SUMIF($C$2:$DR$2,"製鉄曳船",C170:DR170)</f>
        <v>0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0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0</v>
      </c>
      <c r="DT171" s="40" t="n">
        <f aca="false">SUMPRODUCT((実績!$C$6:$C$505="○")*ISNUMBER(実績!$AM$6:$AM$505)*(実績!$AM$6:$AM$505&lt;=$A171)*(実績!$AN$6:$AN$505&gt;$A171))</f>
        <v>0</v>
      </c>
      <c r="DU171" s="40" t="n">
        <f aca="false">SUMIF($C$2:$DR$2,"製鉄曳船",C171:DR171)</f>
        <v>0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0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0</v>
      </c>
      <c r="DT172" s="40" t="n">
        <f aca="false">SUMPRODUCT((実績!$C$6:$C$505="○")*ISNUMBER(実績!$AM$6:$AM$505)*(実績!$AM$6:$AM$505&lt;=$A172)*(実績!$AN$6:$AN$505&gt;$A172))</f>
        <v>0</v>
      </c>
      <c r="DU172" s="40" t="n">
        <f aca="false">SUMIF($C$2:$DR$2,"製鉄曳船",C172:DR172)</f>
        <v>0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0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0</v>
      </c>
      <c r="DT173" s="40" t="n">
        <f aca="false">SUMPRODUCT((実績!$C$6:$C$505="○")*ISNUMBER(実績!$AM$6:$AM$505)*(実績!$AM$6:$AM$505&lt;=$A173)*(実績!$AN$6:$AN$505&gt;$A173))</f>
        <v>0</v>
      </c>
      <c r="DU173" s="40" t="n">
        <f aca="false">SUMIF($C$2:$DR$2,"製鉄曳船",C173:DR173)</f>
        <v>0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576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試験A船</v>
      </c>
      <c r="AL3" s="0" t="str">
        <f aca="false">IF(マスター!$O$41&lt;&gt;"○","",マスター!$K$41)</f>
        <v>試験B船</v>
      </c>
      <c r="AM3" s="0" t="str">
        <f aca="false">IF(マスター!$O$42&lt;&gt;"○","",マスター!$K$42)</f>
        <v>試験C船</v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570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0</v>
      </c>
      <c r="I4" s="0" t="n">
        <f aca="false">IF(I$3="",0,IF(COUNTIFS(実績!$W$6:$W$505,I$3,実績!$AL$6:$AL$505,"○")&gt;0,1,0))</f>
        <v>0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1</v>
      </c>
      <c r="AL4" s="0" t="n">
        <f aca="false">IF(AL$3="",0,IF(COUNTIFS(実績!$W$6:$W$505,AL$3,実績!$AL$6:$AL$505,"○")&gt;0,1,0))</f>
        <v>1</v>
      </c>
      <c r="AM4" s="0" t="n">
        <f aca="false">IF(AM$3="",0,IF(COUNTIFS(実績!$W$6:$W$505,AM$3,実績!$AL$6:$AL$505,"○")&gt;0,1,0))</f>
        <v>1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571</v>
      </c>
      <c r="B5" s="38" t="s">
        <v>572</v>
      </c>
      <c r="DS5" s="38" t="s">
        <v>577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0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0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0</v>
      </c>
      <c r="I8" s="40" t="n">
        <f aca="false">IF(I$4=0,0,IF(COUNTIFS(実績!$W$6:$W$505,I$3,実績!$AI$6:$AI$505,"&lt;="&amp;$A8,実績!$AJ$6:$AJ$505,"&gt;"&amp;$A8,実績!$AL$6:$AL$505,"○")&gt;0,1,0))</f>
        <v>0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0</v>
      </c>
      <c r="I9" s="40" t="n">
        <f aca="false">IF(I$4=0,0,IF(COUNTIFS(実績!$W$6:$W$505,I$3,実績!$AI$6:$AI$505,"&lt;="&amp;$A9,実績!$AJ$6:$AJ$505,"&gt;"&amp;$A9,実績!$AL$6:$AL$505,"○")&gt;0,1,0))</f>
        <v>0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0</v>
      </c>
      <c r="I10" s="40" t="n">
        <f aca="false">IF(I$4=0,0,IF(COUNTIFS(実績!$W$6:$W$505,I$3,実績!$AI$6:$AI$505,"&lt;="&amp;$A10,実績!$AJ$6:$AJ$505,"&gt;"&amp;$A10,実績!$AL$6:$AL$505,"○")&gt;0,1,0))</f>
        <v>0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0</v>
      </c>
      <c r="I11" s="40" t="n">
        <f aca="false">IF(I$4=0,0,IF(COUNTIFS(実績!$W$6:$W$505,I$3,実績!$AI$6:$AI$505,"&lt;="&amp;$A11,実績!$AJ$6:$AJ$505,"&gt;"&amp;$A11,実績!$AL$6:$AL$505,"○")&gt;0,1,0))</f>
        <v>0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0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0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0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0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0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0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0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0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0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0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0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0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0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0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0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0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0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0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0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0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0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0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0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0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0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0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0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0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0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0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0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0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0</v>
      </c>
      <c r="I102" s="40" t="n">
        <f aca="false">IF(I$4=0,0,IF(COUNTIFS(実績!$W$6:$W$505,I$3,実績!$AI$6:$AI$505,"&lt;="&amp;$A102,実績!$AJ$6:$AJ$505,"&gt;"&amp;$A102,実績!$AL$6:$AL$505,"○")&gt;0,1,0))</f>
        <v>0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0</v>
      </c>
      <c r="I103" s="40" t="n">
        <f aca="false">IF(I$4=0,0,IF(COUNTIFS(実績!$W$6:$W$505,I$3,実績!$AI$6:$AI$505,"&lt;="&amp;$A103,実績!$AJ$6:$AJ$505,"&gt;"&amp;$A103,実績!$AL$6:$AL$505,"○")&gt;0,1,0))</f>
        <v>0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0</v>
      </c>
      <c r="I104" s="40" t="n">
        <f aca="false">IF(I$4=0,0,IF(COUNTIFS(実績!$W$6:$W$505,I$3,実績!$AI$6:$AI$505,"&lt;="&amp;$A104,実績!$AJ$6:$AJ$505,"&gt;"&amp;$A104,実績!$AL$6:$AL$505,"○")&gt;0,1,0))</f>
        <v>0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0</v>
      </c>
      <c r="I105" s="40" t="n">
        <f aca="false">IF(I$4=0,0,IF(COUNTIFS(実績!$W$6:$W$505,I$3,実績!$AI$6:$AI$505,"&lt;="&amp;$A105,実績!$AJ$6:$AJ$505,"&gt;"&amp;$A105,実績!$AL$6:$AL$505,"○")&gt;0,1,0))</f>
        <v>0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0</v>
      </c>
      <c r="I106" s="40" t="n">
        <f aca="false">IF(I$4=0,0,IF(COUNTIFS(実績!$W$6:$W$505,I$3,実績!$AI$6:$AI$505,"&lt;="&amp;$A106,実績!$AJ$6:$AJ$505,"&gt;"&amp;$A106,実績!$AL$6:$AL$505,"○")&gt;0,1,0))</f>
        <v>0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0</v>
      </c>
      <c r="I107" s="40" t="n">
        <f aca="false">IF(I$4=0,0,IF(COUNTIFS(実績!$W$6:$W$505,I$3,実績!$AI$6:$AI$505,"&lt;="&amp;$A107,実績!$AJ$6:$AJ$505,"&gt;"&amp;$A107,実績!$AL$6:$AL$505,"○")&gt;0,1,0))</f>
        <v>0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0</v>
      </c>
      <c r="I108" s="40" t="n">
        <f aca="false">IF(I$4=0,0,IF(COUNTIFS(実績!$W$6:$W$505,I$3,実績!$AI$6:$AI$505,"&lt;="&amp;$A108,実績!$AJ$6:$AJ$505,"&gt;"&amp;$A108,実績!$AL$6:$AL$505,"○")&gt;0,1,0))</f>
        <v>0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0</v>
      </c>
      <c r="I109" s="40" t="n">
        <f aca="false">IF(I$4=0,0,IF(COUNTIFS(実績!$W$6:$W$505,I$3,実績!$AI$6:$AI$505,"&lt;="&amp;$A109,実績!$AJ$6:$AJ$505,"&gt;"&amp;$A109,実績!$AL$6:$AL$505,"○")&gt;0,1,0))</f>
        <v>0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0</v>
      </c>
      <c r="I110" s="40" t="n">
        <f aca="false">IF(I$4=0,0,IF(COUNTIFS(実績!$W$6:$W$505,I$3,実績!$AI$6:$AI$505,"&lt;="&amp;$A110,実績!$AJ$6:$AJ$505,"&gt;"&amp;$A110,実績!$AL$6:$AL$505,"○")&gt;0,1,0))</f>
        <v>0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0</v>
      </c>
      <c r="I111" s="40" t="n">
        <f aca="false">IF(I$4=0,0,IF(COUNTIFS(実績!$W$6:$W$505,I$3,実績!$AI$6:$AI$505,"&lt;="&amp;$A111,実績!$AJ$6:$AJ$505,"&gt;"&amp;$A111,実績!$AL$6:$AL$505,"○")&gt;0,1,0))</f>
        <v>0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0</v>
      </c>
      <c r="I112" s="40" t="n">
        <f aca="false">IF(I$4=0,0,IF(COUNTIFS(実績!$W$6:$W$505,I$3,実績!$AI$6:$AI$505,"&lt;="&amp;$A112,実績!$AJ$6:$AJ$505,"&gt;"&amp;$A112,実績!$AL$6:$AL$505,"○")&gt;0,1,0))</f>
        <v>0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0</v>
      </c>
      <c r="I113" s="40" t="n">
        <f aca="false">IF(I$4=0,0,IF(COUNTIFS(実績!$W$6:$W$505,I$3,実績!$AI$6:$AI$505,"&lt;="&amp;$A113,実績!$AJ$6:$AJ$505,"&gt;"&amp;$A113,実績!$AL$6:$AL$505,"○")&gt;0,1,0))</f>
        <v>0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0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1</v>
      </c>
      <c r="AL114" s="40" t="n">
        <f aca="false">IF(AL$4=0,0,IF(COUNTIFS(実績!$W$6:$W$505,AL$3,実績!$AI$6:$AI$505,"&lt;="&amp;$A114,実績!$AJ$6:$AJ$505,"&gt;"&amp;$A114,実績!$AL$6:$AL$505,"○")&gt;0,1,0))</f>
        <v>1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2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0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1</v>
      </c>
      <c r="AL115" s="40" t="n">
        <f aca="false">IF(AL$4=0,0,IF(COUNTIFS(実績!$W$6:$W$505,AL$3,実績!$AI$6:$AI$505,"&lt;="&amp;$A115,実績!$AJ$6:$AJ$505,"&gt;"&amp;$A115,実績!$AL$6:$AL$505,"○")&gt;0,1,0))</f>
        <v>1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2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0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1</v>
      </c>
      <c r="AL116" s="40" t="n">
        <f aca="false">IF(AL$4=0,0,IF(COUNTIFS(実績!$W$6:$W$505,AL$3,実績!$AI$6:$AI$505,"&lt;="&amp;$A116,実績!$AJ$6:$AJ$505,"&gt;"&amp;$A116,実績!$AL$6:$AL$505,"○")&gt;0,1,0))</f>
        <v>1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2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0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1</v>
      </c>
      <c r="AL117" s="40" t="n">
        <f aca="false">IF(AL$4=0,0,IF(COUNTIFS(実績!$W$6:$W$505,AL$3,実績!$AI$6:$AI$505,"&lt;="&amp;$A117,実績!$AJ$6:$AJ$505,"&gt;"&amp;$A117,実績!$AL$6:$AL$505,"○")&gt;0,1,0))</f>
        <v>1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2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0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1</v>
      </c>
      <c r="AL118" s="40" t="n">
        <f aca="false">IF(AL$4=0,0,IF(COUNTIFS(実績!$W$6:$W$505,AL$3,実績!$AI$6:$AI$505,"&lt;="&amp;$A118,実績!$AJ$6:$AJ$505,"&gt;"&amp;$A118,実績!$AL$6:$AL$505,"○")&gt;0,1,0))</f>
        <v>1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2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0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1</v>
      </c>
      <c r="AL119" s="40" t="n">
        <f aca="false">IF(AL$4=0,0,IF(COUNTIFS(実績!$W$6:$W$505,AL$3,実績!$AI$6:$AI$505,"&lt;="&amp;$A119,実績!$AJ$6:$AJ$505,"&gt;"&amp;$A119,実績!$AL$6:$AL$505,"○")&gt;0,1,0))</f>
        <v>1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2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0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0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0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1</v>
      </c>
      <c r="AL120" s="40" t="n">
        <f aca="false">IF(AL$4=0,0,IF(COUNTIFS(実績!$W$6:$W$505,AL$3,実績!$AI$6:$AI$505,"&lt;="&amp;$A120,実績!$AJ$6:$AJ$505,"&gt;"&amp;$A120,実績!$AL$6:$AL$505,"○")&gt;0,1,0))</f>
        <v>1</v>
      </c>
      <c r="AM120" s="40" t="n">
        <f aca="false">IF(AM$4=0,0,IF(COUNTIFS(実績!$W$6:$W$505,AM$3,実績!$AI$6:$AI$505,"&lt;="&amp;$A120,実績!$AJ$6:$AJ$505,"&gt;"&amp;$A120,実績!$AL$6:$AL$505,"○")&gt;0,1,0))</f>
        <v>1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3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0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0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0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1</v>
      </c>
      <c r="AL121" s="40" t="n">
        <f aca="false">IF(AL$4=0,0,IF(COUNTIFS(実績!$W$6:$W$505,AL$3,実績!$AI$6:$AI$505,"&lt;="&amp;$A121,実績!$AJ$6:$AJ$505,"&gt;"&amp;$A121,実績!$AL$6:$AL$505,"○")&gt;0,1,0))</f>
        <v>1</v>
      </c>
      <c r="AM121" s="40" t="n">
        <f aca="false">IF(AM$4=0,0,IF(COUNTIFS(実績!$W$6:$W$505,AM$3,実績!$AI$6:$AI$505,"&lt;="&amp;$A121,実績!$AJ$6:$AJ$505,"&gt;"&amp;$A121,実績!$AL$6:$AL$505,"○")&gt;0,1,0))</f>
        <v>1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3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0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0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0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1</v>
      </c>
      <c r="AL122" s="40" t="n">
        <f aca="false">IF(AL$4=0,0,IF(COUNTIFS(実績!$W$6:$W$505,AL$3,実績!$AI$6:$AI$505,"&lt;="&amp;$A122,実績!$AJ$6:$AJ$505,"&gt;"&amp;$A122,実績!$AL$6:$AL$505,"○")&gt;0,1,0))</f>
        <v>1</v>
      </c>
      <c r="AM122" s="40" t="n">
        <f aca="false">IF(AM$4=0,0,IF(COUNTIFS(実績!$W$6:$W$505,AM$3,実績!$AI$6:$AI$505,"&lt;="&amp;$A122,実績!$AJ$6:$AJ$505,"&gt;"&amp;$A122,実績!$AL$6:$AL$505,"○")&gt;0,1,0))</f>
        <v>1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3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0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0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0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0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1</v>
      </c>
      <c r="AL123" s="40" t="n">
        <f aca="false">IF(AL$4=0,0,IF(COUNTIFS(実績!$W$6:$W$505,AL$3,実績!$AI$6:$AI$505,"&lt;="&amp;$A123,実績!$AJ$6:$AJ$505,"&gt;"&amp;$A123,実績!$AL$6:$AL$505,"○")&gt;0,1,0))</f>
        <v>1</v>
      </c>
      <c r="AM123" s="40" t="n">
        <f aca="false">IF(AM$4=0,0,IF(COUNTIFS(実績!$W$6:$W$505,AM$3,実績!$AI$6:$AI$505,"&lt;="&amp;$A123,実績!$AJ$6:$AJ$505,"&gt;"&amp;$A123,実績!$AL$6:$AL$505,"○")&gt;0,1,0))</f>
        <v>1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3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0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0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0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0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1</v>
      </c>
      <c r="AL124" s="40" t="n">
        <f aca="false">IF(AL$4=0,0,IF(COUNTIFS(実績!$W$6:$W$505,AL$3,実績!$AI$6:$AI$505,"&lt;="&amp;$A124,実績!$AJ$6:$AJ$505,"&gt;"&amp;$A124,実績!$AL$6:$AL$505,"○")&gt;0,1,0))</f>
        <v>1</v>
      </c>
      <c r="AM124" s="40" t="n">
        <f aca="false">IF(AM$4=0,0,IF(COUNTIFS(実績!$W$6:$W$505,AM$3,実績!$AI$6:$AI$505,"&lt;="&amp;$A124,実績!$AJ$6:$AJ$505,"&gt;"&amp;$A124,実績!$AL$6:$AL$505,"○")&gt;0,1,0))</f>
        <v>1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3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0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0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0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0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1</v>
      </c>
      <c r="AL125" s="40" t="n">
        <f aca="false">IF(AL$4=0,0,IF(COUNTIFS(実績!$W$6:$W$505,AL$3,実績!$AI$6:$AI$505,"&lt;="&amp;$A125,実績!$AJ$6:$AJ$505,"&gt;"&amp;$A125,実績!$AL$6:$AL$505,"○")&gt;0,1,0))</f>
        <v>1</v>
      </c>
      <c r="AM125" s="40" t="n">
        <f aca="false">IF(AM$4=0,0,IF(COUNTIFS(実績!$W$6:$W$505,AM$3,実績!$AI$6:$AI$505,"&lt;="&amp;$A125,実績!$AJ$6:$AJ$505,"&gt;"&amp;$A125,実績!$AL$6:$AL$505,"○")&gt;0,1,0))</f>
        <v>1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3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0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0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0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0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1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1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0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0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0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0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1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1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0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0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0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0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1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1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0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0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0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0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1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1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0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0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0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0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1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1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0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0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0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0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1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1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0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0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0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0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0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0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0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0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0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0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0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0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0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0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0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0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0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0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0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0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0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2026-10-04T12:56:36Z</dcterms:created>
  <dc:creator>openpyxl</dc:creator>
  <dc:description/>
  <dc:language>en-US</dc:language>
  <cp:lastModifiedBy/>
  <dcterms:modified xsi:type="dcterms:W3CDTF">2026-10-04T12:56:39Z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